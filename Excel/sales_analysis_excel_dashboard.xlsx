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garim\Documents\Sales-Analysis-Project\Excel\"/>
    </mc:Choice>
  </mc:AlternateContent>
  <xr:revisionPtr revIDLastSave="0" documentId="8_{BFF6965F-2EE1-47C2-B2BC-5982523D7C27}" xr6:coauthVersionLast="47" xr6:coauthVersionMax="47" xr10:uidLastSave="{00000000-0000-0000-0000-000000000000}"/>
  <bookViews>
    <workbookView xWindow="-110" yWindow="-110" windowWidth="22620" windowHeight="13500" firstSheet="5" activeTab="5" xr2:uid="{5D8D7385-D90E-4747-A1A2-0CB8B12FE2EE}"/>
  </bookViews>
  <sheets>
    <sheet name="Sheet5" sheetId="9" r:id="rId1"/>
    <sheet name="Sheet7" sheetId="11" r:id="rId2"/>
    <sheet name="product-report" sheetId="4" r:id="rId3"/>
    <sheet name="Product Lookup" sheetId="8" r:id="rId4"/>
    <sheet name="monthly-sales-trend" sheetId="3" r:id="rId5"/>
    <sheet name="Dashboard" sheetId="6" r:id="rId6"/>
    <sheet name="Chart Data" sheetId="7" r:id="rId7"/>
    <sheet name="customer-segmentation" sheetId="2" r:id="rId8"/>
    <sheet name="category-contribution-part-to-w" sheetId="1" r:id="rId9"/>
  </sheets>
  <definedNames>
    <definedName name="A">#REF!</definedName>
    <definedName name="ExternalData_1" localSheetId="7" hidden="1">'customer-segmentation'!$A$1:$B$4</definedName>
    <definedName name="ExternalData_2" localSheetId="4" hidden="1">'monthly-sales-trend'!$A$1:$D$39</definedName>
    <definedName name="ExternalData_3" localSheetId="2" hidden="1">'product-report'!$A$1:$M$131</definedName>
    <definedName name="Slicer_category">#N/A</definedName>
  </definedNames>
  <calcPr calcId="191029"/>
  <pivotCaches>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8" l="1"/>
  <c r="B9" i="8"/>
  <c r="B8" i="8"/>
  <c r="B7" i="8"/>
  <c r="B6" i="8"/>
  <c r="B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7737F9-F021-4AFF-B344-6AAEC2B368DE}" keepAlive="1" name="Query - customer-segmentation" description="Connection to the 'customer-segmentation' query in the workbook." type="5" refreshedVersion="8" background="1" saveData="1">
    <dbPr connection="Provider=Microsoft.Mashup.OleDb.1;Data Source=$Workbook$;Location=customer-segmentation;Extended Properties=&quot;&quot;" command="SELECT * FROM [customer-segmentation]"/>
  </connection>
  <connection id="2" xr16:uid="{B40001FB-7C93-47D0-8F76-F9FC4506117B}" keepAlive="1" name="Query - monthly-sales-trend" description="Connection to the 'monthly-sales-trend' query in the workbook." type="5" refreshedVersion="8" background="1" saveData="1">
    <dbPr connection="Provider=Microsoft.Mashup.OleDb.1;Data Source=$Workbook$;Location=monthly-sales-trend;Extended Properties=&quot;&quot;" command="SELECT * FROM [monthly-sales-trend]"/>
  </connection>
  <connection id="3" xr16:uid="{BFBFA48B-E325-46AF-8598-F1EC0705D219}" keepAlive="1" name="Query - product-report" description="Connection to the 'product-report' query in the workbook." type="5" refreshedVersion="8" background="1" saveData="1">
    <dbPr connection="Provider=Microsoft.Mashup.OleDb.1;Data Source=$Workbook$;Location=product-report;Extended Properties=&quot;&quot;" command="SELECT * FROM [product-report]"/>
  </connection>
</connections>
</file>

<file path=xl/sharedStrings.xml><?xml version="1.0" encoding="utf-8"?>
<sst xmlns="http://schemas.openxmlformats.org/spreadsheetml/2006/main" count="718" uniqueCount="192">
  <si>
    <t>category</t>
  </si>
  <si>
    <t>total_sales</t>
  </si>
  <si>
    <t>overall_sales</t>
  </si>
  <si>
    <t>percentage_total</t>
  </si>
  <si>
    <t>Bikes</t>
  </si>
  <si>
    <t>Accessories</t>
  </si>
  <si>
    <t>Clothing</t>
  </si>
  <si>
    <t>customer_segment</t>
  </si>
  <si>
    <t>total_customers</t>
  </si>
  <si>
    <t>New</t>
  </si>
  <si>
    <t>Regular</t>
  </si>
  <si>
    <t>VIP</t>
  </si>
  <si>
    <t>month_year</t>
  </si>
  <si>
    <t>total_quantity</t>
  </si>
  <si>
    <t>product_key</t>
  </si>
  <si>
    <t>product_name</t>
  </si>
  <si>
    <t>subcategory</t>
  </si>
  <si>
    <t>total_orders</t>
  </si>
  <si>
    <t>total_revenue</t>
  </si>
  <si>
    <t>lifespan</t>
  </si>
  <si>
    <t>product_segment</t>
  </si>
  <si>
    <t>recency</t>
  </si>
  <si>
    <t>avg_order_revenue</t>
  </si>
  <si>
    <t>avg_monthly_revenue</t>
  </si>
  <si>
    <t>Mountain-200 Black- 46</t>
  </si>
  <si>
    <t>Mountain Bikes</t>
  </si>
  <si>
    <t>High Performer</t>
  </si>
  <si>
    <t>Mountain-200 Black- 42</t>
  </si>
  <si>
    <t>Mountain-200 Silver- 38</t>
  </si>
  <si>
    <t>Mountain-200 Silver- 46</t>
  </si>
  <si>
    <t>Mountain-200 Black- 38</t>
  </si>
  <si>
    <t>Mountain-200 Silver- 42</t>
  </si>
  <si>
    <t>Road-150 Red- 48</t>
  </si>
  <si>
    <t>Road Bikes</t>
  </si>
  <si>
    <t>Road-150 Red- 62</t>
  </si>
  <si>
    <t>Road-150 Red- 52</t>
  </si>
  <si>
    <t>Road-150 Red- 56</t>
  </si>
  <si>
    <t>Road-150 Red- 44</t>
  </si>
  <si>
    <t>Road-250 Black- 52</t>
  </si>
  <si>
    <t>Mid Performer</t>
  </si>
  <si>
    <t>Road-250 Red- 58</t>
  </si>
  <si>
    <t>Road-250 Black- 48</t>
  </si>
  <si>
    <t>Road-250 Black- 44</t>
  </si>
  <si>
    <t>Road-250 Black- 58</t>
  </si>
  <si>
    <t>Touring-1000 Blue- 46</t>
  </si>
  <si>
    <t>Touring Bikes</t>
  </si>
  <si>
    <t>Road-350-W Yellow- 40</t>
  </si>
  <si>
    <t>Touring-1000 Yellow- 46</t>
  </si>
  <si>
    <t>Road-350-W Yellow- 42</t>
  </si>
  <si>
    <t>Road-250 Red- 48</t>
  </si>
  <si>
    <t>Road-350-W Yellow- 48</t>
  </si>
  <si>
    <t>Touring-1000 Blue- 54</t>
  </si>
  <si>
    <t>Touring-1000 Yellow- 54</t>
  </si>
  <si>
    <t>Road-350-W Yellow- 44</t>
  </si>
  <si>
    <t>Touring-1000 Yellow- 50</t>
  </si>
  <si>
    <t>Touring-1000 Blue- 50</t>
  </si>
  <si>
    <t>Road-250 Red- 44</t>
  </si>
  <si>
    <t>Touring-1000 Blue- 60</t>
  </si>
  <si>
    <t>Road-550-W Yellow- 42</t>
  </si>
  <si>
    <t>Touring-1000 Yellow- 60</t>
  </si>
  <si>
    <t>Road-250 Red- 52</t>
  </si>
  <si>
    <t>Road-550-W Yellow- 44</t>
  </si>
  <si>
    <t>Road-550-W Yellow- 38</t>
  </si>
  <si>
    <t>Road-550-W Yellow- 40</t>
  </si>
  <si>
    <t>Road-550-W Yellow- 48</t>
  </si>
  <si>
    <t>Road-750 Black- 52</t>
  </si>
  <si>
    <t>Mountain-100 Black- 44</t>
  </si>
  <si>
    <t>Mountain-100 Silver- 38</t>
  </si>
  <si>
    <t>Low Performer</t>
  </si>
  <si>
    <t>Road-750 Black- 48</t>
  </si>
  <si>
    <t>Road-750 Black- 44</t>
  </si>
  <si>
    <t>Mountain-100 Black- 48</t>
  </si>
  <si>
    <t>Road-750 Black- 58</t>
  </si>
  <si>
    <t>Mountain-100 Silver- 44</t>
  </si>
  <si>
    <t>Mountain-100 Black- 38</t>
  </si>
  <si>
    <t>Mountain-100 Black- 42</t>
  </si>
  <si>
    <t>Mountain-100 Silver- 42</t>
  </si>
  <si>
    <t>Touring-2000 Blue- 50</t>
  </si>
  <si>
    <t>Mountain-100 Silver- 48</t>
  </si>
  <si>
    <t>Touring-2000 Blue- 46</t>
  </si>
  <si>
    <t>Mountain-400-W Silver- 38</t>
  </si>
  <si>
    <t>Touring-2000 Blue- 54</t>
  </si>
  <si>
    <t>Mountain-400-W Silver- 46</t>
  </si>
  <si>
    <t>Mountain-400-W Silver- 42</t>
  </si>
  <si>
    <t>Mountain-400-W Silver- 40</t>
  </si>
  <si>
    <t>Touring-2000 Blue- 60</t>
  </si>
  <si>
    <t>Sport-100 Helmet- Red</t>
  </si>
  <si>
    <t>Helmets</t>
  </si>
  <si>
    <t>Sport-100 Helmet- Blue</t>
  </si>
  <si>
    <t>Sport-100 Helmet- Black</t>
  </si>
  <si>
    <t>Road-650 Black- 52</t>
  </si>
  <si>
    <t>Road-650 Red- 48</t>
  </si>
  <si>
    <t>Road-650 Black- 58</t>
  </si>
  <si>
    <t>Road-650 Red- 62</t>
  </si>
  <si>
    <t>Road-650 Black- 60</t>
  </si>
  <si>
    <t>Road-650 Red- 58</t>
  </si>
  <si>
    <t>Road-650 Red- 44</t>
  </si>
  <si>
    <t>Road-650 Black- 62</t>
  </si>
  <si>
    <t>HL Mountain Tire</t>
  </si>
  <si>
    <t>Tires and Tubes</t>
  </si>
  <si>
    <t>Road-650 Black- 44</t>
  </si>
  <si>
    <t>Touring-3000 Blue- 62</t>
  </si>
  <si>
    <t>Fender Set - Mountain</t>
  </si>
  <si>
    <t>Fenders</t>
  </si>
  <si>
    <t>Road-650 Red- 52</t>
  </si>
  <si>
    <t>Road-650 Black- 48</t>
  </si>
  <si>
    <t>Touring-3000 Yellow- 44</t>
  </si>
  <si>
    <t>Touring-3000 Yellow- 50</t>
  </si>
  <si>
    <t>Touring-3000 Blue- 58</t>
  </si>
  <si>
    <t>Touring-3000 Blue- 54</t>
  </si>
  <si>
    <t>Hydration Pack - 70 oz.</t>
  </si>
  <si>
    <t>Hydration Packs</t>
  </si>
  <si>
    <t>Road-650 Red- 60</t>
  </si>
  <si>
    <t>All-Purpose Bike Stand</t>
  </si>
  <si>
    <t>Bike Stands</t>
  </si>
  <si>
    <t>Hitch Rack - 4-Bike</t>
  </si>
  <si>
    <t>Bike Racks</t>
  </si>
  <si>
    <t>Touring-3000 Blue- 44</t>
  </si>
  <si>
    <t>Touring-3000 Yellow- 62</t>
  </si>
  <si>
    <t>Touring-3000 Blue- 50</t>
  </si>
  <si>
    <t>Touring-3000 Yellow- 54</t>
  </si>
  <si>
    <t>Touring-3000 Yellow- 58</t>
  </si>
  <si>
    <t>ML Mountain Tire</t>
  </si>
  <si>
    <t>Mountain-500 Black- 44</t>
  </si>
  <si>
    <t>Mountain-500 Black- 48</t>
  </si>
  <si>
    <t>HL Road Tire</t>
  </si>
  <si>
    <t>Mountain-500 Silver- 48</t>
  </si>
  <si>
    <t>Mountain-500 Silver- 52</t>
  </si>
  <si>
    <t>Touring Tire</t>
  </si>
  <si>
    <t>Mountain-500 Black- 42</t>
  </si>
  <si>
    <t>Mountain-500 Black- 40</t>
  </si>
  <si>
    <t>Mountain-500 Silver- 40</t>
  </si>
  <si>
    <t>Mountain-500 Silver- 42</t>
  </si>
  <si>
    <t>Women's Mountain Shorts- L</t>
  </si>
  <si>
    <t>Shorts</t>
  </si>
  <si>
    <t>Women's Mountain Shorts- M</t>
  </si>
  <si>
    <t>ML Road Tire</t>
  </si>
  <si>
    <t>Long-Sleeve Logo Jersey- L</t>
  </si>
  <si>
    <t>Jerseys</t>
  </si>
  <si>
    <t>Mountain-500 Black- 52</t>
  </si>
  <si>
    <t>Long-Sleeve Logo Jersey- M</t>
  </si>
  <si>
    <t>Short-Sleeve Classic Jersey- XL</t>
  </si>
  <si>
    <t>Mountain-500 Silver- 44</t>
  </si>
  <si>
    <t>Short-Sleeve Classic Jersey- M</t>
  </si>
  <si>
    <t>Short-Sleeve Classic Jersey- S</t>
  </si>
  <si>
    <t>LL Road Tire</t>
  </si>
  <si>
    <t>LL Mountain Tire</t>
  </si>
  <si>
    <t>Long-Sleeve Logo Jersey- S</t>
  </si>
  <si>
    <t>Women's Mountain Shorts- S</t>
  </si>
  <si>
    <t>Water Bottle - 30 oz.</t>
  </si>
  <si>
    <t>Bottles and Cages</t>
  </si>
  <si>
    <t>Long-Sleeve Logo Jersey- XL</t>
  </si>
  <si>
    <t>Mountain Bottle Cage</t>
  </si>
  <si>
    <t>Short-Sleeve Classic Jersey- L</t>
  </si>
  <si>
    <t>AWC Logo Cap</t>
  </si>
  <si>
    <t>Caps</t>
  </si>
  <si>
    <t>Mountain Tire Tube</t>
  </si>
  <si>
    <t>Road Bottle Cage</t>
  </si>
  <si>
    <t>Classic Vest- M</t>
  </si>
  <si>
    <t>Vests</t>
  </si>
  <si>
    <t>Classic Vest- L</t>
  </si>
  <si>
    <t>Half-Finger Gloves- M</t>
  </si>
  <si>
    <t>Gloves</t>
  </si>
  <si>
    <t>Half-Finger Gloves- S</t>
  </si>
  <si>
    <t>Classic Vest- S</t>
  </si>
  <si>
    <t>Half-Finger Gloves- L</t>
  </si>
  <si>
    <t>Road Tire Tube</t>
  </si>
  <si>
    <t>Touring Tire Tube</t>
  </si>
  <si>
    <t>Bike Wash - Dissolver</t>
  </si>
  <si>
    <t>Cleaners</t>
  </si>
  <si>
    <t>Patch Kit/8 Patches</t>
  </si>
  <si>
    <t>Racing Socks- M</t>
  </si>
  <si>
    <t>Socks</t>
  </si>
  <si>
    <t>Racing Socks- L</t>
  </si>
  <si>
    <t>Avg Order Revenue</t>
  </si>
  <si>
    <t>Total Orders</t>
  </si>
  <si>
    <t>Total Revenue</t>
  </si>
  <si>
    <t>SALES AND PERFORMANCE DASHBOARD</t>
  </si>
  <si>
    <r>
      <t xml:space="preserve">TOTAL REVENUE
</t>
    </r>
    <r>
      <rPr>
        <b/>
        <sz val="22"/>
        <color rgb="FF002060"/>
        <rFont val="Calibri"/>
        <family val="2"/>
        <scheme val="minor"/>
      </rPr>
      <t>29.36M</t>
    </r>
  </si>
  <si>
    <r>
      <t xml:space="preserve">TOTAL ORDERS
</t>
    </r>
    <r>
      <rPr>
        <b/>
        <sz val="22"/>
        <color rgb="FF002060"/>
        <rFont val="Calibri"/>
        <family val="2"/>
        <scheme val="minor"/>
      </rPr>
      <t>60.4K</t>
    </r>
  </si>
  <si>
    <r>
      <t xml:space="preserve">TOTAL QUANTITY
</t>
    </r>
    <r>
      <rPr>
        <b/>
        <sz val="22"/>
        <color rgb="FF002060"/>
        <rFont val="Calibri"/>
        <family val="2"/>
        <scheme val="minor"/>
      </rPr>
      <t>60.4K</t>
    </r>
  </si>
  <si>
    <r>
      <t xml:space="preserve">TOTAL CUSTOMERS
</t>
    </r>
    <r>
      <rPr>
        <b/>
        <sz val="22"/>
        <color rgb="FF002060"/>
        <rFont val="Calibri"/>
        <family val="2"/>
        <scheme val="minor"/>
      </rPr>
      <t>58.9K</t>
    </r>
  </si>
  <si>
    <r>
      <t xml:space="preserve">AVG ORDER REVENUE
</t>
    </r>
    <r>
      <rPr>
        <b/>
        <sz val="22"/>
        <color rgb="FF002060"/>
        <rFont val="Calibri"/>
        <family val="2"/>
        <scheme val="minor"/>
      </rPr>
      <t>486.05</t>
    </r>
  </si>
  <si>
    <t>Row Labels</t>
  </si>
  <si>
    <t>Grand Total</t>
  </si>
  <si>
    <t>Sum of total_revenue</t>
  </si>
  <si>
    <t>Product Lookup Tool</t>
  </si>
  <si>
    <t>Select Product</t>
  </si>
  <si>
    <t>Category</t>
  </si>
  <si>
    <t>Subcategory</t>
  </si>
  <si>
    <t>Product Segment</t>
  </si>
  <si>
    <t>&lt;- Select product from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</si>
</sst>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2060"/>
      <name val="Calibri"/>
      <family val="2"/>
      <scheme val="minor"/>
    </font>
    <font>
      <b/>
      <sz val="22"/>
      <color rgb="FF002060"/>
      <name val="Calibri"/>
      <family val="2"/>
      <scheme val="minor"/>
    </font>
    <font>
      <b/>
      <sz val="22"/>
      <color theme="0"/>
      <name val="Calibri"/>
      <family val="2"/>
      <scheme val="minor"/>
    </font>
    <font>
      <i/>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2" tint="-9.9978637043366805E-2"/>
        <bgColor indexed="64"/>
      </patternFill>
    </fill>
    <fill>
      <patternFill patternType="solid">
        <fgColor theme="8"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indexed="64"/>
      </left>
      <right/>
      <top/>
      <bottom/>
      <diagonal/>
    </border>
    <border>
      <left style="thick">
        <color indexed="64"/>
      </left>
      <right/>
      <top style="thick">
        <color theme="0" tint="-0.14999847407452621"/>
      </top>
      <bottom/>
      <diagonal/>
    </border>
    <border>
      <left/>
      <right/>
      <top style="thick">
        <color theme="0" tint="-0.14999847407452621"/>
      </top>
      <bottom/>
      <diagonal/>
    </border>
    <border>
      <left style="thick">
        <color theme="0" tint="-0.14999847407452621"/>
      </left>
      <right/>
      <top/>
      <bottom/>
      <diagonal/>
    </border>
    <border>
      <left/>
      <right style="thick">
        <color theme="0" tint="-0.14999847407452621"/>
      </right>
      <top style="thick">
        <color theme="0" tint="-0.14999847407452621"/>
      </top>
      <bottom/>
      <diagonal/>
    </border>
    <border>
      <left/>
      <right style="thick">
        <color theme="0" tint="-0.14999847407452621"/>
      </right>
      <top/>
      <bottom/>
      <diagonal/>
    </border>
    <border>
      <left style="thick">
        <color indexed="64"/>
      </left>
      <right/>
      <top/>
      <bottom style="thick">
        <color theme="0" tint="-0.14999847407452621"/>
      </bottom>
      <diagonal/>
    </border>
    <border>
      <left/>
      <right/>
      <top/>
      <bottom style="thick">
        <color theme="0" tint="-0.14999847407452621"/>
      </bottom>
      <diagonal/>
    </border>
    <border>
      <left/>
      <right style="thick">
        <color theme="0" tint="-0.14999847407452621"/>
      </right>
      <top/>
      <bottom style="thick">
        <color theme="0" tint="-0.14999847407452621"/>
      </bottom>
      <diagonal/>
    </border>
    <border>
      <left style="thick">
        <color theme="0" tint="-0.14999847407452621"/>
      </left>
      <right/>
      <top/>
      <bottom style="thick">
        <color theme="0" tint="-0.14999847407452621"/>
      </bottom>
      <diagonal/>
    </border>
    <border>
      <left style="thick">
        <color theme="0" tint="-0.14999847407452621"/>
      </left>
      <right/>
      <top style="thick">
        <color theme="0" tint="-0.14999847407452621"/>
      </top>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0" fontId="0" fillId="0" borderId="0" xfId="0" applyNumberFormat="1"/>
    <xf numFmtId="14" fontId="0" fillId="0" borderId="0" xfId="0" applyNumberFormat="1"/>
    <xf numFmtId="0" fontId="0" fillId="0" borderId="0" xfId="0" applyAlignment="1">
      <alignment horizontal="center"/>
    </xf>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0" borderId="12" xfId="0" applyBorder="1"/>
    <xf numFmtId="0" fontId="0" fillId="34" borderId="0" xfId="0" applyFill="1"/>
    <xf numFmtId="0" fontId="16" fillId="35" borderId="21" xfId="0" applyFont="1" applyFill="1" applyBorder="1"/>
    <xf numFmtId="0" fontId="21" fillId="0" borderId="0" xfId="0" applyFont="1"/>
    <xf numFmtId="0" fontId="20" fillId="33" borderId="0" xfId="0" applyFont="1" applyFill="1" applyAlignment="1">
      <alignment horizontal="center" vertical="center"/>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0" xfId="0" applyFont="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9" xfId="0" applyFont="1" applyBorder="1" applyAlignment="1">
      <alignment horizontal="center" vertical="center" wrapText="1"/>
    </xf>
    <xf numFmtId="0" fontId="16"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theme="0"/>
      </font>
      <fill>
        <patternFill>
          <bgColor theme="8" tint="-0.24994659260841701"/>
        </patternFill>
      </fill>
    </dxf>
    <dxf>
      <font>
        <color theme="0"/>
      </font>
      <fill>
        <patternFill>
          <bgColor theme="7" tint="-0.24994659260841701"/>
        </patternFill>
      </fill>
    </dxf>
    <dxf>
      <font>
        <color theme="2"/>
      </font>
      <fill>
        <patternFill>
          <bgColor theme="9" tint="-0.24994659260841701"/>
        </patternFill>
      </fil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759CF"/>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'monthly-sales-trend'!$B$1</c:f>
              <c:strCache>
                <c:ptCount val="1"/>
                <c:pt idx="0">
                  <c:v>total_sales</c:v>
                </c:pt>
              </c:strCache>
            </c:strRef>
          </c:tx>
          <c:spPr>
            <a:ln w="31750" cap="rnd">
              <a:solidFill>
                <a:schemeClr val="accent1"/>
              </a:solidFill>
              <a:round/>
            </a:ln>
            <a:effectLst/>
          </c:spPr>
          <c:marker>
            <c:symbol val="none"/>
          </c:marker>
          <c:cat>
            <c:numRef>
              <c:f>'monthly-sales-trend'!$A$2:$A$39</c:f>
              <c:numCache>
                <c:formatCode>m/d/yyyy</c:formatCode>
                <c:ptCount val="38"/>
                <c:pt idx="0">
                  <c:v>40513</c:v>
                </c:pt>
                <c:pt idx="1">
                  <c:v>40544</c:v>
                </c:pt>
                <c:pt idx="2">
                  <c:v>40575</c:v>
                </c:pt>
                <c:pt idx="3">
                  <c:v>40603</c:v>
                </c:pt>
                <c:pt idx="4">
                  <c:v>40634</c:v>
                </c:pt>
                <c:pt idx="5">
                  <c:v>40664</c:v>
                </c:pt>
                <c:pt idx="6">
                  <c:v>40695</c:v>
                </c:pt>
                <c:pt idx="7">
                  <c:v>40725</c:v>
                </c:pt>
                <c:pt idx="8">
                  <c:v>40756</c:v>
                </c:pt>
                <c:pt idx="9">
                  <c:v>40787</c:v>
                </c:pt>
                <c:pt idx="10">
                  <c:v>40817</c:v>
                </c:pt>
                <c:pt idx="11">
                  <c:v>40848</c:v>
                </c:pt>
                <c:pt idx="12">
                  <c:v>40878</c:v>
                </c:pt>
                <c:pt idx="13">
                  <c:v>40909</c:v>
                </c:pt>
                <c:pt idx="14">
                  <c:v>40940</c:v>
                </c:pt>
                <c:pt idx="15">
                  <c:v>40969</c:v>
                </c:pt>
                <c:pt idx="16">
                  <c:v>41000</c:v>
                </c:pt>
                <c:pt idx="17">
                  <c:v>41030</c:v>
                </c:pt>
                <c:pt idx="18">
                  <c:v>41061</c:v>
                </c:pt>
                <c:pt idx="19">
                  <c:v>41091</c:v>
                </c:pt>
                <c:pt idx="20">
                  <c:v>41122</c:v>
                </c:pt>
                <c:pt idx="21">
                  <c:v>41153</c:v>
                </c:pt>
                <c:pt idx="22">
                  <c:v>41183</c:v>
                </c:pt>
                <c:pt idx="23">
                  <c:v>41214</c:v>
                </c:pt>
                <c:pt idx="24">
                  <c:v>41244</c:v>
                </c:pt>
                <c:pt idx="25">
                  <c:v>41275</c:v>
                </c:pt>
                <c:pt idx="26">
                  <c:v>41306</c:v>
                </c:pt>
                <c:pt idx="27">
                  <c:v>41334</c:v>
                </c:pt>
                <c:pt idx="28">
                  <c:v>41365</c:v>
                </c:pt>
                <c:pt idx="29">
                  <c:v>41395</c:v>
                </c:pt>
                <c:pt idx="30">
                  <c:v>41426</c:v>
                </c:pt>
                <c:pt idx="31">
                  <c:v>41456</c:v>
                </c:pt>
                <c:pt idx="32">
                  <c:v>41487</c:v>
                </c:pt>
                <c:pt idx="33">
                  <c:v>41518</c:v>
                </c:pt>
                <c:pt idx="34">
                  <c:v>41548</c:v>
                </c:pt>
                <c:pt idx="35">
                  <c:v>41579</c:v>
                </c:pt>
                <c:pt idx="36">
                  <c:v>41609</c:v>
                </c:pt>
                <c:pt idx="37">
                  <c:v>41640</c:v>
                </c:pt>
              </c:numCache>
            </c:numRef>
          </c:cat>
          <c:val>
            <c:numRef>
              <c:f>'monthly-sales-trend'!$B$2:$B$39</c:f>
              <c:numCache>
                <c:formatCode>General</c:formatCode>
                <c:ptCount val="38"/>
                <c:pt idx="0">
                  <c:v>43419</c:v>
                </c:pt>
                <c:pt idx="1">
                  <c:v>469795</c:v>
                </c:pt>
                <c:pt idx="2">
                  <c:v>466307</c:v>
                </c:pt>
                <c:pt idx="3">
                  <c:v>485165</c:v>
                </c:pt>
                <c:pt idx="4">
                  <c:v>502042</c:v>
                </c:pt>
                <c:pt idx="5">
                  <c:v>561647</c:v>
                </c:pt>
                <c:pt idx="6">
                  <c:v>737793</c:v>
                </c:pt>
                <c:pt idx="7">
                  <c:v>596710</c:v>
                </c:pt>
                <c:pt idx="8">
                  <c:v>614516</c:v>
                </c:pt>
                <c:pt idx="9">
                  <c:v>603047</c:v>
                </c:pt>
                <c:pt idx="10">
                  <c:v>708164</c:v>
                </c:pt>
                <c:pt idx="11">
                  <c:v>660507</c:v>
                </c:pt>
                <c:pt idx="12">
                  <c:v>669395</c:v>
                </c:pt>
                <c:pt idx="13">
                  <c:v>495363</c:v>
                </c:pt>
                <c:pt idx="14">
                  <c:v>506992</c:v>
                </c:pt>
                <c:pt idx="15">
                  <c:v>373478</c:v>
                </c:pt>
                <c:pt idx="16">
                  <c:v>400324</c:v>
                </c:pt>
                <c:pt idx="17">
                  <c:v>358866</c:v>
                </c:pt>
                <c:pt idx="18">
                  <c:v>555142</c:v>
                </c:pt>
                <c:pt idx="19">
                  <c:v>444533</c:v>
                </c:pt>
                <c:pt idx="20">
                  <c:v>523887</c:v>
                </c:pt>
                <c:pt idx="21">
                  <c:v>486149</c:v>
                </c:pt>
                <c:pt idx="22">
                  <c:v>535125</c:v>
                </c:pt>
                <c:pt idx="23">
                  <c:v>537918</c:v>
                </c:pt>
                <c:pt idx="24">
                  <c:v>624454</c:v>
                </c:pt>
                <c:pt idx="25">
                  <c:v>857758</c:v>
                </c:pt>
                <c:pt idx="26">
                  <c:v>771218</c:v>
                </c:pt>
                <c:pt idx="27">
                  <c:v>1049732</c:v>
                </c:pt>
                <c:pt idx="28">
                  <c:v>1045860</c:v>
                </c:pt>
                <c:pt idx="29">
                  <c:v>1284456</c:v>
                </c:pt>
                <c:pt idx="30">
                  <c:v>1642948</c:v>
                </c:pt>
                <c:pt idx="31">
                  <c:v>1371595</c:v>
                </c:pt>
                <c:pt idx="32">
                  <c:v>1545910</c:v>
                </c:pt>
                <c:pt idx="33">
                  <c:v>1447324</c:v>
                </c:pt>
                <c:pt idx="34">
                  <c:v>1673261</c:v>
                </c:pt>
                <c:pt idx="35">
                  <c:v>1780688</c:v>
                </c:pt>
                <c:pt idx="36">
                  <c:v>1874128</c:v>
                </c:pt>
                <c:pt idx="37">
                  <c:v>45642</c:v>
                </c:pt>
              </c:numCache>
            </c:numRef>
          </c:val>
          <c:smooth val="0"/>
          <c:extLst>
            <c:ext xmlns:c16="http://schemas.microsoft.com/office/drawing/2014/chart" uri="{C3380CC4-5D6E-409C-BE32-E72D297353CC}">
              <c16:uniqueId val="{00000000-331F-456A-A3E4-12A6C4DBEF33}"/>
            </c:ext>
          </c:extLst>
        </c:ser>
        <c:dLbls>
          <c:showLegendKey val="0"/>
          <c:showVal val="0"/>
          <c:showCatName val="0"/>
          <c:showSerName val="0"/>
          <c:showPercent val="0"/>
          <c:showBubbleSize val="0"/>
        </c:dLbls>
        <c:smooth val="0"/>
        <c:axId val="92003567"/>
        <c:axId val="92007407"/>
      </c:lineChart>
      <c:dateAx>
        <c:axId val="92003567"/>
        <c:scaling>
          <c:orientation val="minMax"/>
        </c:scaling>
        <c:delete val="0"/>
        <c:axPos val="b"/>
        <c:numFmt formatCode="m/d/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007407"/>
        <c:crosses val="autoZero"/>
        <c:auto val="1"/>
        <c:lblOffset val="100"/>
        <c:baseTimeUnit val="months"/>
      </c:dateAx>
      <c:valAx>
        <c:axId val="92007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003567"/>
        <c:crosses val="autoZero"/>
        <c:crossBetween val="between"/>
        <c:dispUnits>
          <c:builtInUnit val="millions"/>
          <c:dispUnitsLbl>
            <c:layout>
              <c:manualLayout>
                <c:xMode val="edge"/>
                <c:yMode val="edge"/>
                <c:x val="1.4828544949026877E-2"/>
                <c:y val="0.40603833865814704"/>
              </c:manualLayout>
            </c:layout>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 Revenue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tx>
            <c:strRef>
              <c:f>'category-contribution-part-to-w'!$B$1</c:f>
              <c:strCache>
                <c:ptCount val="1"/>
                <c:pt idx="0">
                  <c:v>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numFmt formatCode="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'category-contribution-part-to-w'!$A$2:$A$4</c:f>
              <c:strCache>
                <c:ptCount val="3"/>
                <c:pt idx="0">
                  <c:v>Bikes</c:v>
                </c:pt>
                <c:pt idx="1">
                  <c:v>Accessories</c:v>
                </c:pt>
                <c:pt idx="2">
                  <c:v>Clothing</c:v>
                </c:pt>
              </c:strCache>
            </c:strRef>
          </c:cat>
          <c:val>
            <c:numRef>
              <c:f>'category-contribution-part-to-w'!$B$2:$B$4</c:f>
              <c:numCache>
                <c:formatCode>General</c:formatCode>
                <c:ptCount val="3"/>
                <c:pt idx="0">
                  <c:v>28316272</c:v>
                </c:pt>
                <c:pt idx="1">
                  <c:v>700262</c:v>
                </c:pt>
                <c:pt idx="2">
                  <c:v>339716</c:v>
                </c:pt>
              </c:numCache>
            </c:numRef>
          </c:val>
          <c:extLst>
            <c:ext xmlns:c16="http://schemas.microsoft.com/office/drawing/2014/chart" uri="{C3380CC4-5D6E-409C-BE32-E72D297353CC}">
              <c16:uniqueId val="{00000000-76ED-45A8-B256-335C9BA547AA}"/>
            </c:ext>
          </c:extLst>
        </c:ser>
        <c:dLbls>
          <c:dLblPos val="outEnd"/>
          <c:showLegendKey val="0"/>
          <c:showVal val="1"/>
          <c:showCatName val="0"/>
          <c:showSerName val="0"/>
          <c:showPercent val="0"/>
          <c:showBubbleSize val="0"/>
        </c:dLbls>
        <c:gapWidth val="100"/>
        <c:axId val="91963247"/>
        <c:axId val="91968527"/>
      </c:barChart>
      <c:catAx>
        <c:axId val="919632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968527"/>
        <c:crosses val="autoZero"/>
        <c:auto val="1"/>
        <c:lblAlgn val="ctr"/>
        <c:lblOffset val="100"/>
        <c:noMultiLvlLbl val="0"/>
      </c:catAx>
      <c:valAx>
        <c:axId val="9196852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96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[sales_analysis_excel_dashboard.xlsx]Sheet5!PivotTable5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 Revenue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pivotFmt>
    </c:pivotFmts>
    <c:plotArea>
      <c:layout/>
      <c:barChart>
        <c:barDir val="bar"/>
        <c:grouping val="clustered"/>
        <c:varyColors val="0"/>
        <c:ser>
          <c:idx val="1"/>
          <c:order val="0"/>
          <c:tx>
            <c:strRef>
              <c:f>Sheet5!$B$3</c:f>
              <c:strCache>
                <c:ptCount val="1"/>
                <c:pt idx="0">
                  <c:v>Total</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Sheet5!$A$4:$A$14</c:f>
              <c:strCache>
                <c:ptCount val="10"/>
                <c:pt idx="0">
                  <c:v>Sport-100 Helmet- Red</c:v>
                </c:pt>
                <c:pt idx="1">
                  <c:v>Sport-100 Helmet- Blue</c:v>
                </c:pt>
                <c:pt idx="2">
                  <c:v>Sport-100 Helmet- Black</c:v>
                </c:pt>
                <c:pt idx="3">
                  <c:v>HL Mountain Tire</c:v>
                </c:pt>
                <c:pt idx="4">
                  <c:v>Fender Set - Mountain</c:v>
                </c:pt>
                <c:pt idx="5">
                  <c:v>Hydration Pack - 70 oz.</c:v>
                </c:pt>
                <c:pt idx="6">
                  <c:v>All-Purpose Bike Stand</c:v>
                </c:pt>
                <c:pt idx="7">
                  <c:v>Hitch Rack - 4-Bike</c:v>
                </c:pt>
                <c:pt idx="8">
                  <c:v>ML Mountain Tire</c:v>
                </c:pt>
                <c:pt idx="9">
                  <c:v>HL Road Tire</c:v>
                </c:pt>
              </c:strCache>
            </c:strRef>
          </c:cat>
          <c:val>
            <c:numRef>
              <c:f>Sheet5!$B$4:$B$14</c:f>
              <c:numCache>
                <c:formatCode>General</c:formatCode>
                <c:ptCount val="10"/>
                <c:pt idx="0">
                  <c:v>78050</c:v>
                </c:pt>
                <c:pt idx="1">
                  <c:v>74410</c:v>
                </c:pt>
                <c:pt idx="2">
                  <c:v>72975</c:v>
                </c:pt>
                <c:pt idx="3">
                  <c:v>48895</c:v>
                </c:pt>
                <c:pt idx="4">
                  <c:v>46662</c:v>
                </c:pt>
                <c:pt idx="5">
                  <c:v>40315</c:v>
                </c:pt>
                <c:pt idx="6">
                  <c:v>39591</c:v>
                </c:pt>
                <c:pt idx="7">
                  <c:v>39360</c:v>
                </c:pt>
                <c:pt idx="8">
                  <c:v>34830</c:v>
                </c:pt>
                <c:pt idx="9">
                  <c:v>28314</c:v>
                </c:pt>
              </c:numCache>
            </c:numRef>
          </c:val>
          <c:extLst>
            <c:ext xmlns:c16="http://schemas.microsoft.com/office/drawing/2014/chart" uri="{C3380CC4-5D6E-409C-BE32-E72D297353CC}">
              <c16:uniqueId val="{00000004-23F4-468F-9AAD-6DFEDEEFE1C5}"/>
            </c:ext>
          </c:extLst>
        </c:ser>
        <c:dLbls>
          <c:dLblPos val="inEnd"/>
          <c:showLegendKey val="0"/>
          <c:showVal val="1"/>
          <c:showCatName val="0"/>
          <c:showSerName val="0"/>
          <c:showPercent val="0"/>
          <c:showBubbleSize val="0"/>
        </c:dLbls>
        <c:gapWidth val="65"/>
        <c:axId val="249457519"/>
        <c:axId val="249457039"/>
      </c:barChart>
      <c:catAx>
        <c:axId val="249457519"/>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9457039"/>
        <c:crosses val="autoZero"/>
        <c:auto val="1"/>
        <c:lblAlgn val="ctr"/>
        <c:lblOffset val="100"/>
        <c:noMultiLvlLbl val="0"/>
      </c:catAx>
      <c:valAx>
        <c:axId val="249457039"/>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945751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Segment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'customer-segmentation'!$B$1</c:f>
              <c:strCache>
                <c:ptCount val="1"/>
                <c:pt idx="0">
                  <c:v>total_customers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3F-481F-8F07-4381FBEFDDE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3F-481F-8F07-4381FBEFDDE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3F-481F-8F07-4381FBEFDDEB}"/>
              </c:ext>
            </c:extLst>
          </c:dPt>
          <c:dLbls>
            <c:numFmt formatCode="General"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'customer-segmentation'!$A$2:$A$4</c:f>
              <c:strCache>
                <c:ptCount val="3"/>
                <c:pt idx="0">
                  <c:v>New</c:v>
                </c:pt>
                <c:pt idx="1">
                  <c:v>Regular</c:v>
                </c:pt>
                <c:pt idx="2">
                  <c:v>VIP</c:v>
                </c:pt>
              </c:strCache>
            </c:strRef>
          </c:cat>
          <c:val>
            <c:numRef>
              <c:f>'customer-segmentation'!$B$2:$B$4</c:f>
              <c:numCache>
                <c:formatCode>General</c:formatCode>
                <c:ptCount val="3"/>
                <c:pt idx="0">
                  <c:v>14826</c:v>
                </c:pt>
                <c:pt idx="1">
                  <c:v>2039</c:v>
                </c:pt>
                <c:pt idx="2">
                  <c:v>1617</c:v>
                </c:pt>
              </c:numCache>
            </c:numRef>
          </c:val>
          <c:extLst>
            <c:ext xmlns:c16="http://schemas.microsoft.com/office/drawing/2014/chart" uri="{C3380CC4-5D6E-409C-BE32-E72D297353CC}">
              <c16:uniqueId val="{00000006-6E3F-481F-8F07-4381FBEFDDEB}"/>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[sales_analysis_excel_dashboard.xlsx]Sheet7!PivotTable7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Product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Sheet7!$B$3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D0-4C42-9AFB-ED395F6C5E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D0-4C42-9AFB-ED395F6C5E5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D0-4C42-9AFB-ED395F6C5E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Sheet7!$A$4:$A$7</c:f>
              <c:strCache>
                <c:ptCount val="3"/>
                <c:pt idx="0">
                  <c:v>High Performer</c:v>
                </c:pt>
                <c:pt idx="1">
                  <c:v>Mid Performer</c:v>
                </c:pt>
                <c:pt idx="2">
                  <c:v>Low Performer</c:v>
                </c:pt>
              </c:strCache>
            </c:strRef>
          </c:cat>
          <c:val>
            <c:numRef>
              <c:f>Sheet7!$B$4:$B$7</c:f>
              <c:numCache>
                <c:formatCode>General</c:formatCode>
                <c:ptCount val="3"/>
                <c:pt idx="0">
                  <c:v>13478705</c:v>
                </c:pt>
                <c:pt idx="1">
                  <c:v>10948240</c:v>
                </c:pt>
                <c:pt idx="2">
                  <c:v>4929305</c:v>
                </c:pt>
              </c:numCache>
            </c:numRef>
          </c:val>
          <c:extLst>
            <c:ext xmlns:c16="http://schemas.microsoft.com/office/drawing/2014/chart" uri="{C3380CC4-5D6E-409C-BE32-E72D297353CC}">
              <c16:uniqueId val="{00000006-3AD0-4C42-9AFB-ED395F6C5E57}"/>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Products</a:t>
            </a:r>
            <a:r>
              <a:rPr lang="en-US" baseline="0"/>
              <a:t> by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'product-report'!$E$1</c:f>
              <c:strCache>
                <c:ptCount val="1"/>
                <c:pt idx="0">
                  <c:v>total_orders</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'product-report'!$B$2:$B$11</c:f>
              <c:strCache>
                <c:ptCount val="10"/>
                <c:pt idx="0">
                  <c:v>Water Bottle - 30 oz.</c:v>
                </c:pt>
                <c:pt idx="1">
                  <c:v>Patch Kit/8 Patches</c:v>
                </c:pt>
                <c:pt idx="2">
                  <c:v>Mountain Tire Tube</c:v>
                </c:pt>
                <c:pt idx="3">
                  <c:v>Road Tire Tube</c:v>
                </c:pt>
                <c:pt idx="4">
                  <c:v>Sport-100 Helmet- Red</c:v>
                </c:pt>
                <c:pt idx="5">
                  <c:v>AWC Logo Cap</c:v>
                </c:pt>
                <c:pt idx="6">
                  <c:v>Sport-100 Helmet- Blue</c:v>
                </c:pt>
                <c:pt idx="7">
                  <c:v>Fender Set - Mountain</c:v>
                </c:pt>
                <c:pt idx="8">
                  <c:v>Sport-100 Helmet- Black</c:v>
                </c:pt>
                <c:pt idx="9">
                  <c:v>Mountain Bottle Cage</c:v>
                </c:pt>
              </c:strCache>
            </c:strRef>
          </c:cat>
          <c:val>
            <c:numRef>
              <c:f>'product-report'!$E$2:$E$11</c:f>
              <c:numCache>
                <c:formatCode>General</c:formatCode>
                <c:ptCount val="10"/>
                <c:pt idx="0">
                  <c:v>4244</c:v>
                </c:pt>
                <c:pt idx="1">
                  <c:v>3191</c:v>
                </c:pt>
                <c:pt idx="2">
                  <c:v>3095</c:v>
                </c:pt>
                <c:pt idx="3">
                  <c:v>2376</c:v>
                </c:pt>
                <c:pt idx="4">
                  <c:v>2230</c:v>
                </c:pt>
                <c:pt idx="5">
                  <c:v>2190</c:v>
                </c:pt>
                <c:pt idx="6">
                  <c:v>2125</c:v>
                </c:pt>
                <c:pt idx="7">
                  <c:v>2121</c:v>
                </c:pt>
                <c:pt idx="8">
                  <c:v>2085</c:v>
                </c:pt>
                <c:pt idx="9">
                  <c:v>2025</c:v>
                </c:pt>
              </c:numCache>
            </c:numRef>
          </c:val>
          <c:extLst>
            <c:ext xmlns:c16="http://schemas.microsoft.com/office/drawing/2014/chart" uri="{C3380CC4-5D6E-409C-BE32-E72D297353CC}">
              <c16:uniqueId val="{00000000-97AA-43CE-82D5-A617200659FF}"/>
            </c:ext>
          </c:extLst>
        </c:ser>
        <c:dLbls>
          <c:dLblPos val="inEnd"/>
          <c:showLegendKey val="0"/>
          <c:showVal val="1"/>
          <c:showCatName val="0"/>
          <c:showSerName val="0"/>
          <c:showPercent val="0"/>
          <c:showBubbleSize val="0"/>
        </c:dLbls>
        <c:gapWidth val="65"/>
        <c:axId val="811963711"/>
        <c:axId val="1008157327"/>
      </c:barChart>
      <c:catAx>
        <c:axId val="811963711"/>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157327"/>
        <c:crosses val="autoZero"/>
        <c:auto val="1"/>
        <c:lblAlgn val="ctr"/>
        <c:lblOffset val="100"/>
        <c:noMultiLvlLbl val="0"/>
      </c:catAx>
      <c:valAx>
        <c:axId val="1008157327"/>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196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12</xdr:row>
      <xdr:rowOff>6350</xdr:rowOff>
    </xdr:from>
    <xdr:to>
      <xdr:col>4</xdr:col>
      <xdr:colOff>19050</xdr:colOff>
      <xdr:row>26</xdr:row>
      <xdr:rowOff>25400</xdr:rowOff>
    </xdr:to>
    <xdr:sp macro="" textlink="">
      <xdr:nvSpPr>
        <xdr:cNvPr id="2" name="TextBox 1">
          <a:extLst>
            <a:ext uri="{FF2B5EF4-FFF2-40B4-BE49-F238E27FC236}">
              <a16:creationId xmlns:a16="http://schemas.microsoft.com/office/drawing/2014/main" id="{9733C8FE-F97B-2B9F-C505-0DAB4E5B27FA}"/>
            </a:ext>
          </a:extLst>
        </xdr:cNvPr>
        <xdr:cNvSpPr txBox="1"/>
      </xdr:nvSpPr>
      <xdr:spPr>
        <a:xfrm>
          <a:off x="38100" y="2228850"/>
          <a:ext cx="5099050" cy="2597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Formula Used</a:t>
          </a:r>
        </a:p>
        <a:p>
          <a:endParaRPr lang="en-IN" sz="1100"/>
        </a:p>
        <a:p>
          <a:r>
            <a:rPr lang="en-IN" sz="1100"/>
            <a:t>This lookup tool uses XLOOKUP to dynamically fetch product details based on the selected product name.</a:t>
          </a:r>
        </a:p>
        <a:p>
          <a:r>
            <a:rPr lang="en-IN"/>
            <a:t>VLOOKUP can also be used if product_name is the first column in the lookup range.</a:t>
          </a:r>
          <a:br>
            <a:rPr lang="en-IN"/>
          </a:br>
          <a:r>
            <a:rPr lang="en-IN"/>
            <a:t>HLOOKUP was not used because the dataset is arranged vertically, where products are stored row-wise.</a:t>
          </a:r>
          <a:endParaRPr lang="en-IN" sz="1100"/>
        </a:p>
        <a:p>
          <a:endParaRPr lang="en-IN" sz="1100"/>
        </a:p>
        <a:p>
          <a:r>
            <a:rPr lang="en-IN" sz="1100"/>
            <a:t>Fields returned:</a:t>
          </a:r>
        </a:p>
        <a:p>
          <a:r>
            <a:rPr lang="en-IN" sz="1100"/>
            <a:t>• Category</a:t>
          </a:r>
        </a:p>
        <a:p>
          <a:r>
            <a:rPr lang="en-IN" sz="1100"/>
            <a:t>• Subcategory</a:t>
          </a:r>
        </a:p>
        <a:p>
          <a:r>
            <a:rPr lang="en-IN" sz="1100"/>
            <a:t>• Product Segment</a:t>
          </a:r>
        </a:p>
        <a:p>
          <a:r>
            <a:rPr lang="en-IN" sz="1100"/>
            <a:t>• Total Revenue</a:t>
          </a:r>
        </a:p>
        <a:p>
          <a:r>
            <a:rPr lang="en-IN" sz="1100"/>
            <a:t>• Total Orders</a:t>
          </a:r>
        </a:p>
        <a:p>
          <a:r>
            <a:rPr lang="en-IN" sz="1100"/>
            <a:t>• Avg Order Revenue</a:t>
          </a:r>
          <a:br>
            <a:rPr lang="en-IN" sz="1100"/>
          </a:b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9</xdr:row>
      <xdr:rowOff>19050</xdr:rowOff>
    </xdr:from>
    <xdr:to>
      <xdr:col>8</xdr:col>
      <xdr:colOff>10584</xdr:colOff>
      <xdr:row>22</xdr:row>
      <xdr:rowOff>127000</xdr:rowOff>
    </xdr:to>
    <xdr:graphicFrame macro="">
      <xdr:nvGraphicFramePr>
        <xdr:cNvPr id="2" name="Chart 1">
          <a:extLst>
            <a:ext uri="{FF2B5EF4-FFF2-40B4-BE49-F238E27FC236}">
              <a16:creationId xmlns:a16="http://schemas.microsoft.com/office/drawing/2014/main" id="{519ACF41-8EAC-4F18-8D39-F4788CEAB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301624</xdr:rowOff>
    </xdr:from>
    <xdr:to>
      <xdr:col>15</xdr:col>
      <xdr:colOff>603250</xdr:colOff>
      <xdr:row>22</xdr:row>
      <xdr:rowOff>134937</xdr:rowOff>
    </xdr:to>
    <xdr:graphicFrame macro="">
      <xdr:nvGraphicFramePr>
        <xdr:cNvPr id="3" name="Chart 2">
          <a:extLst>
            <a:ext uri="{FF2B5EF4-FFF2-40B4-BE49-F238E27FC236}">
              <a16:creationId xmlns:a16="http://schemas.microsoft.com/office/drawing/2014/main" id="{395A591C-8505-4C75-9E28-937966192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54042</xdr:colOff>
      <xdr:row>22</xdr:row>
      <xdr:rowOff>148617</xdr:rowOff>
    </xdr:from>
    <xdr:to>
      <xdr:col>16</xdr:col>
      <xdr:colOff>84667</xdr:colOff>
      <xdr:row>39</xdr:row>
      <xdr:rowOff>63500</xdr:rowOff>
    </xdr:to>
    <xdr:graphicFrame macro="">
      <xdr:nvGraphicFramePr>
        <xdr:cNvPr id="5" name="Chart 4">
          <a:extLst>
            <a:ext uri="{FF2B5EF4-FFF2-40B4-BE49-F238E27FC236}">
              <a16:creationId xmlns:a16="http://schemas.microsoft.com/office/drawing/2014/main" id="{6E7833FD-0BA2-4288-972C-50AFE957F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52917</xdr:colOff>
      <xdr:row>40</xdr:row>
      <xdr:rowOff>21166</xdr:rowOff>
    </xdr:from>
    <xdr:to>
      <xdr:col>7</xdr:col>
      <xdr:colOff>846667</xdr:colOff>
      <xdr:row>53</xdr:row>
      <xdr:rowOff>296333</xdr:rowOff>
    </xdr:to>
    <xdr:graphicFrame macro="">
      <xdr:nvGraphicFramePr>
        <xdr:cNvPr id="6" name="Chart 5">
          <a:extLst>
            <a:ext uri="{FF2B5EF4-FFF2-40B4-BE49-F238E27FC236}">
              <a16:creationId xmlns:a16="http://schemas.microsoft.com/office/drawing/2014/main" id="{539653AF-331F-43A7-96DB-F395DDB4A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53094</xdr:colOff>
      <xdr:row>28</xdr:row>
      <xdr:rowOff>245569</xdr:rowOff>
    </xdr:from>
    <xdr:to>
      <xdr:col>23</xdr:col>
      <xdr:colOff>109422</xdr:colOff>
      <xdr:row>33</xdr:row>
      <xdr:rowOff>35519</xdr:rowOff>
    </xdr:to>
    <mc:AlternateContent xmlns:mc="http://schemas.openxmlformats.org/markup-compatibility/2006" xmlns:a14="http://schemas.microsoft.com/office/drawing/2010/main">
      <mc:Choice Requires="a14">
        <xdr:graphicFrame macro="">
          <xdr:nvGraphicFramePr>
            <xdr:cNvPr id="9" name="Filter by category">
              <a:extLst>
                <a:ext uri="{FF2B5EF4-FFF2-40B4-BE49-F238E27FC236}">
                  <a16:creationId xmlns:a16="http://schemas.microsoft.com/office/drawing/2014/main" id="{1BC5BE88-439C-4330-B914-0612BB5980CE}"/>
                </a:ext>
              </a:extLst>
            </xdr:cNvPr>
            <xdr:cNvGraphicFramePr/>
          </xdr:nvGraphicFramePr>
          <xdr:xfrm>
            <a:off x="0" y="0"/>
            <a:ext cx="0" cy="0"/>
          </xdr:xfrm>
          <a:graphic>
            <a:graphicData uri="http://schemas.microsoft.com/office/drawing/2010/slicer">
              <sle:slicer xmlns:sle="http://schemas.microsoft.com/office/drawing/2010/slicer" name="Filter by category"/>
            </a:graphicData>
          </a:graphic>
        </xdr:graphicFrame>
      </mc:Choice>
      <mc:Fallback xmlns="">
        <xdr:sp macro="" textlink="">
          <xdr:nvSpPr>
            <xdr:cNvPr id="0" name=""/>
            <xdr:cNvSpPr>
              <a:spLocks noTextEdit="1"/>
            </xdr:cNvSpPr>
          </xdr:nvSpPr>
          <xdr:spPr>
            <a:xfrm>
              <a:off x="13573709" y="8725261"/>
              <a:ext cx="4296175" cy="1304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359833</xdr:colOff>
      <xdr:row>40</xdr:row>
      <xdr:rowOff>21166</xdr:rowOff>
    </xdr:from>
    <xdr:to>
      <xdr:col>16</xdr:col>
      <xdr:colOff>116417</xdr:colOff>
      <xdr:row>53</xdr:row>
      <xdr:rowOff>243417</xdr:rowOff>
    </xdr:to>
    <xdr:graphicFrame macro="">
      <xdr:nvGraphicFramePr>
        <xdr:cNvPr id="10" name="Chart 9">
          <a:extLst>
            <a:ext uri="{FF2B5EF4-FFF2-40B4-BE49-F238E27FC236}">
              <a16:creationId xmlns:a16="http://schemas.microsoft.com/office/drawing/2014/main" id="{08138B54-A9B7-4728-A08D-B291625FC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175639</xdr:colOff>
      <xdr:row>22</xdr:row>
      <xdr:rowOff>135106</xdr:rowOff>
    </xdr:from>
    <xdr:to>
      <xdr:col>8</xdr:col>
      <xdr:colOff>63500</xdr:colOff>
      <xdr:row>39</xdr:row>
      <xdr:rowOff>74083</xdr:rowOff>
    </xdr:to>
    <xdr:graphicFrame macro="">
      <xdr:nvGraphicFramePr>
        <xdr:cNvPr id="11" name="Chart 10">
          <a:extLst>
            <a:ext uri="{FF2B5EF4-FFF2-40B4-BE49-F238E27FC236}">
              <a16:creationId xmlns:a16="http://schemas.microsoft.com/office/drawing/2014/main" id="{24128CD8-9AC4-4E9B-8AA0-95301B5C6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97693</xdr:colOff>
      <xdr:row>39</xdr:row>
      <xdr:rowOff>273538</xdr:rowOff>
    </xdr:from>
    <xdr:to>
      <xdr:col>25</xdr:col>
      <xdr:colOff>78154</xdr:colOff>
      <xdr:row>44</xdr:row>
      <xdr:rowOff>205154</xdr:rowOff>
    </xdr:to>
    <xdr:sp macro="" textlink="">
      <xdr:nvSpPr>
        <xdr:cNvPr id="12" name="TextBox 11">
          <a:extLst>
            <a:ext uri="{FF2B5EF4-FFF2-40B4-BE49-F238E27FC236}">
              <a16:creationId xmlns:a16="http://schemas.microsoft.com/office/drawing/2014/main" id="{027E07AC-22D2-D7A7-1DBE-031314F88A27}"/>
            </a:ext>
          </a:extLst>
        </xdr:cNvPr>
        <xdr:cNvSpPr txBox="1"/>
      </xdr:nvSpPr>
      <xdr:spPr>
        <a:xfrm>
          <a:off x="13618308" y="12084538"/>
          <a:ext cx="5431692" cy="1445847"/>
        </a:xfrm>
        <a:prstGeom prst="rect">
          <a:avLst/>
        </a:prstGeom>
        <a:solidFill>
          <a:schemeClr val="lt1"/>
        </a:solidFill>
        <a:ln w="9525" cmpd="sng">
          <a:solidFill>
            <a:schemeClr val="bg2">
              <a:lumMod val="90000"/>
            </a:schemeClr>
          </a:solidFill>
        </a:ln>
        <a:effectLst>
          <a:outerShdw blurRad="635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rPr>
            <a:t>KEY INSIGHTS</a:t>
          </a:r>
          <a:endParaRPr lang="en-IN" sz="1100" b="1">
            <a:solidFill>
              <a:srgbClr val="002060"/>
            </a:solidFill>
          </a:endParaRPr>
        </a:p>
        <a:p>
          <a:endParaRPr lang="en-IN" sz="1100" b="1"/>
        </a:p>
        <a:p>
          <a:r>
            <a:rPr lang="en-IN" sz="1100" b="1"/>
            <a:t>• Bikes generate the majority of total revenue.</a:t>
          </a:r>
        </a:p>
        <a:p>
          <a:r>
            <a:rPr lang="en-IN" sz="1100" b="1"/>
            <a:t>• Premium bike products drive revenue, while accessories drive order frequency.</a:t>
          </a:r>
        </a:p>
        <a:p>
          <a:r>
            <a:rPr lang="en-IN" sz="1100" b="1"/>
            <a:t>• Most customers are New, indicating strong recent customer acquisition.</a:t>
          </a:r>
        </a:p>
        <a:p>
          <a:r>
            <a:rPr lang="en-IN" sz="1100" b="1"/>
            <a:t>• High and Mid performer products contribute the major share of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ima Arora" refreshedDate="46171.456549652779" createdVersion="8" refreshedVersion="8" minRefreshableVersion="3" recordCount="130" xr:uid="{A298D831-CBB1-486C-A13D-65B70C8A1A84}">
  <cacheSource type="worksheet">
    <worksheetSource name="product_report"/>
  </cacheSource>
  <cacheFields count="13">
    <cacheField name="product_key" numFmtId="0">
      <sharedItems containsSemiMixedTypes="0" containsString="0" containsNumber="1" containsInteger="1" minValue="3" maxValue="295"/>
    </cacheField>
    <cacheField name="product_name" numFmtId="0">
      <sharedItems count="130">
        <s v="Mountain-200 Black- 46"/>
        <s v="Mountain-200 Black- 42"/>
        <s v="Mountain-200 Silver- 38"/>
        <s v="Mountain-200 Silver- 46"/>
        <s v="Mountain-200 Black- 38"/>
        <s v="Mountain-200 Silver- 42"/>
        <s v="Road-150 Red- 48"/>
        <s v="Road-150 Red- 62"/>
        <s v="Road-150 Red- 52"/>
        <s v="Road-150 Red- 56"/>
        <s v="Road-150 Red- 44"/>
        <s v="Road-250 Black- 52"/>
        <s v="Road-250 Red- 58"/>
        <s v="Road-250 Black- 48"/>
        <s v="Road-250 Black- 44"/>
        <s v="Road-250 Black- 58"/>
        <s v="Touring-1000 Blue- 46"/>
        <s v="Road-350-W Yellow- 40"/>
        <s v="Touring-1000 Yellow- 46"/>
        <s v="Road-350-W Yellow- 42"/>
        <s v="Road-250 Red- 48"/>
        <s v="Road-350-W Yellow- 48"/>
        <s v="Touring-1000 Blue- 54"/>
        <s v="Touring-1000 Yellow- 54"/>
        <s v="Road-350-W Yellow- 44"/>
        <s v="Touring-1000 Yellow- 50"/>
        <s v="Touring-1000 Blue- 50"/>
        <s v="Road-250 Red- 44"/>
        <s v="Touring-1000 Blue- 60"/>
        <s v="Road-550-W Yellow- 42"/>
        <s v="Touring-1000 Yellow- 60"/>
        <s v="Road-250 Red- 52"/>
        <s v="Road-550-W Yellow- 44"/>
        <s v="Road-550-W Yellow- 38"/>
        <s v="Road-550-W Yellow- 40"/>
        <s v="Road-550-W Yellow- 48"/>
        <s v="Road-750 Black- 52"/>
        <s v="Mountain-100 Black- 44"/>
        <s v="Mountain-100 Silver- 38"/>
        <s v="Road-750 Black- 48"/>
        <s v="Road-750 Black- 44"/>
        <s v="Mountain-100 Black- 48"/>
        <s v="Road-750 Black- 58"/>
        <s v="Mountain-100 Silver- 44"/>
        <s v="Mountain-100 Black- 38"/>
        <s v="Mountain-100 Black- 42"/>
        <s v="Mountain-100 Silver- 42"/>
        <s v="Touring-2000 Blue- 50"/>
        <s v="Mountain-100 Silver- 48"/>
        <s v="Touring-2000 Blue- 46"/>
        <s v="Mountain-400-W Silver- 38"/>
        <s v="Touring-2000 Blue- 54"/>
        <s v="Mountain-400-W Silver- 46"/>
        <s v="Mountain-400-W Silver- 42"/>
        <s v="Mountain-400-W Silver- 40"/>
        <s v="Touring-2000 Blue- 60"/>
        <s v="Sport-100 Helmet- Red"/>
        <s v="Sport-100 Helmet- Blue"/>
        <s v="Sport-100 Helmet- Black"/>
        <s v="Road-650 Black- 52"/>
        <s v="Road-650 Red- 48"/>
        <s v="Road-650 Black- 58"/>
        <s v="Road-650 Red- 62"/>
        <s v="Road-650 Black- 60"/>
        <s v="Road-650 Red- 58"/>
        <s v="Road-650 Red- 44"/>
        <s v="Road-650 Black- 62"/>
        <s v="HL Mountain Tire"/>
        <s v="Road-650 Black- 44"/>
        <s v="Touring-3000 Blue- 62"/>
        <s v="Fender Set - Mountain"/>
        <s v="Road-650 Red- 52"/>
        <s v="Road-650 Black- 48"/>
        <s v="Touring-3000 Yellow- 44"/>
        <s v="Touring-3000 Yellow- 50"/>
        <s v="Touring-3000 Blue- 58"/>
        <s v="Touring-3000 Blue- 54"/>
        <s v="Hydration Pack - 70 oz."/>
        <s v="Road-650 Red- 60"/>
        <s v="All-Purpose Bike Stand"/>
        <s v="Hitch Rack - 4-Bike"/>
        <s v="Touring-3000 Blue- 44"/>
        <s v="Touring-3000 Yellow- 62"/>
        <s v="Touring-3000 Blue- 50"/>
        <s v="Touring-3000 Yellow- 54"/>
        <s v="Touring-3000 Yellow- 58"/>
        <s v="ML Mountain Tire"/>
        <s v="Mountain-500 Black- 44"/>
        <s v="Mountain-500 Black- 48"/>
        <s v="HL Road Tire"/>
        <s v="Mountain-500 Silver- 48"/>
        <s v="Mountain-500 Silver- 52"/>
        <s v="Touring Tire"/>
        <s v="Mountain-500 Black- 42"/>
        <s v="Mountain-500 Black- 40"/>
        <s v="Mountain-500 Silver- 40"/>
        <s v="Mountain-500 Silver- 42"/>
        <s v="Women's Mountain Shorts- L"/>
        <s v="Women's Mountain Shorts- M"/>
        <s v="ML Road Tire"/>
        <s v="Long-Sleeve Logo Jersey- L"/>
        <s v="Mountain-500 Black- 52"/>
        <s v="Long-Sleeve Logo Jersey- M"/>
        <s v="Short-Sleeve Classic Jersey- XL"/>
        <s v="Mountain-500 Silver- 44"/>
        <s v="Short-Sleeve Classic Jersey- M"/>
        <s v="Short-Sleeve Classic Jersey- S"/>
        <s v="LL Road Tire"/>
        <s v="LL Mountain Tire"/>
        <s v="Long-Sleeve Logo Jersey- S"/>
        <s v="Women's Mountain Shorts- S"/>
        <s v="Water Bottle - 30 oz."/>
        <s v="Long-Sleeve Logo Jersey- XL"/>
        <s v="Mountain Bottle Cage"/>
        <s v="Short-Sleeve Classic Jersey- L"/>
        <s v="AWC Logo Cap"/>
        <s v="Mountain Tire Tube"/>
        <s v="Road Bottle Cage"/>
        <s v="Classic Vest- M"/>
        <s v="Classic Vest- L"/>
        <s v="Half-Finger Gloves- M"/>
        <s v="Half-Finger Gloves- S"/>
        <s v="Classic Vest- S"/>
        <s v="Half-Finger Gloves- L"/>
        <s v="Road Tire Tube"/>
        <s v="Touring Tire Tube"/>
        <s v="Bike Wash - Dissolver"/>
        <s v="Patch Kit/8 Patches"/>
        <s v="Racing Socks- M"/>
        <s v="Racing Socks- L"/>
      </sharedItems>
    </cacheField>
    <cacheField name="category" numFmtId="0">
      <sharedItems count="3">
        <s v="Bikes"/>
        <s v="Accessories"/>
        <s v="Clothing"/>
      </sharedItems>
    </cacheField>
    <cacheField name="subcategory" numFmtId="0">
      <sharedItems/>
    </cacheField>
    <cacheField name="total_orders" numFmtId="0">
      <sharedItems containsSemiMixedTypes="0" containsString="0" containsNumber="1" containsInteger="1" minValue="36" maxValue="4244" count="110">
        <n v="620"/>
        <n v="614"/>
        <n v="596"/>
        <n v="580"/>
        <n v="582"/>
        <n v="560"/>
        <n v="337"/>
        <n v="336"/>
        <n v="302"/>
        <n v="295"/>
        <n v="281"/>
        <n v="319"/>
        <n v="306"/>
        <n v="298"/>
        <n v="271"/>
        <n v="270"/>
        <n v="177"/>
        <n v="246"/>
        <n v="172"/>
        <n v="235"/>
        <n v="162"/>
        <n v="232"/>
        <n v="160"/>
        <n v="158"/>
        <n v="216"/>
        <n v="151"/>
        <n v="150"/>
        <n v="144"/>
        <n v="147"/>
        <n v="140"/>
        <n v="133"/>
        <n v="287"/>
        <n v="266"/>
        <n v="261"/>
        <n v="386"/>
        <n v="60"/>
        <n v="58"/>
        <n v="363"/>
        <n v="360"/>
        <n v="57"/>
        <n v="334"/>
        <n v="49"/>
        <n v="45"/>
        <n v="42"/>
        <n v="106"/>
        <n v="36"/>
        <n v="97"/>
        <n v="148"/>
        <n v="88"/>
        <n v="138"/>
        <n v="129"/>
        <n v="128"/>
        <n v="81"/>
        <n v="2230"/>
        <n v="2125"/>
        <n v="2085"/>
        <n v="89"/>
        <n v="76"/>
        <n v="75"/>
        <n v="74"/>
        <n v="72"/>
        <n v="65"/>
        <n v="1396"/>
        <n v="63"/>
        <n v="64"/>
        <n v="2121"/>
        <n v="61"/>
        <n v="59"/>
        <n v="55"/>
        <n v="733"/>
        <n v="53"/>
        <n v="249"/>
        <n v="328"/>
        <n v="50"/>
        <n v="48"/>
        <n v="47"/>
        <n v="1161"/>
        <n v="56"/>
        <n v="858"/>
        <n v="935"/>
        <n v="352"/>
        <n v="926"/>
        <n v="452"/>
        <n v="41"/>
        <n v="442"/>
        <n v="409"/>
        <n v="39"/>
        <n v="407"/>
        <n v="406"/>
        <n v="1044"/>
        <n v="862"/>
        <n v="429"/>
        <n v="304"/>
        <n v="4244"/>
        <n v="413"/>
        <n v="2025"/>
        <n v="374"/>
        <n v="2190"/>
        <n v="3095"/>
        <n v="1712"/>
        <n v="199"/>
        <n v="195"/>
        <n v="499"/>
        <n v="488"/>
        <n v="168"/>
        <n v="443"/>
        <n v="2376"/>
        <n v="1488"/>
        <n v="908"/>
        <n v="3191"/>
      </sharedItems>
    </cacheField>
    <cacheField name="total_revenue" numFmtId="0">
      <sharedItems containsSemiMixedTypes="0" containsString="0" containsNumber="1" containsInteger="1" minValue="2430" maxValue="1373454"/>
    </cacheField>
    <cacheField name="total_quantity" numFmtId="0">
      <sharedItems containsSemiMixedTypes="0" containsString="0" containsNumber="1" containsInteger="1" minValue="36" maxValue="4249"/>
    </cacheField>
    <cacheField name="total_customers" numFmtId="0">
      <sharedItems containsSemiMixedTypes="0" containsString="0" containsNumber="1" containsInteger="1" minValue="36" maxValue="4073"/>
    </cacheField>
    <cacheField name="lifespan" numFmtId="0">
      <sharedItems containsSemiMixedTypes="0" containsString="0" containsNumber="1" containsInteger="1" minValue="10" maxValue="23"/>
    </cacheField>
    <cacheField name="product_segment" numFmtId="0">
      <sharedItems count="3">
        <s v="High Performer"/>
        <s v="Mid Performer"/>
        <s v="Low Performer"/>
      </sharedItems>
    </cacheField>
    <cacheField name="recency" numFmtId="0">
      <sharedItems containsSemiMixedTypes="0" containsString="0" containsNumber="1" containsInteger="1" minValue="148" maxValue="173"/>
    </cacheField>
    <cacheField name="avg_order_revenue" numFmtId="0">
      <sharedItems containsSemiMixedTypes="0" containsString="0" containsNumber="1" minValue="2" maxValue="3578"/>
    </cacheField>
    <cacheField name="avg_monthly_revenue" numFmtId="0">
      <sharedItems containsSemiMixedTypes="0" containsString="0" containsNumber="1" minValue="202.5" maxValue="109616.91"/>
    </cacheField>
  </cacheFields>
  <extLst>
    <ext xmlns:x14="http://schemas.microsoft.com/office/spreadsheetml/2009/9/main" uri="{725AE2AE-9491-48be-B2B4-4EB974FC3084}">
      <x14:pivotCacheDefinition pivotCacheId="816085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n v="122"/>
    <x v="0"/>
    <x v="0"/>
    <s v="Mountain Bikes"/>
    <x v="0"/>
    <n v="1373454"/>
    <n v="620"/>
    <n v="600"/>
    <n v="23"/>
    <x v="0"/>
    <n v="149"/>
    <n v="2215.25"/>
    <n v="59715.39"/>
  </r>
  <r>
    <n v="121"/>
    <x v="1"/>
    <x v="0"/>
    <s v="Mountain Bikes"/>
    <x v="1"/>
    <n v="1363128"/>
    <n v="614"/>
    <n v="604"/>
    <n v="23"/>
    <x v="0"/>
    <n v="149"/>
    <n v="2220.08"/>
    <n v="59266.43"/>
  </r>
  <r>
    <n v="123"/>
    <x v="2"/>
    <x v="0"/>
    <s v="Mountain Bikes"/>
    <x v="2"/>
    <n v="1339394"/>
    <n v="596"/>
    <n v="583"/>
    <n v="23"/>
    <x v="0"/>
    <n v="149"/>
    <n v="2247.31"/>
    <n v="58234.52"/>
  </r>
  <r>
    <n v="125"/>
    <x v="3"/>
    <x v="0"/>
    <s v="Mountain Bikes"/>
    <x v="3"/>
    <n v="1301029"/>
    <n v="580"/>
    <n v="567"/>
    <n v="23"/>
    <x v="0"/>
    <n v="149"/>
    <n v="2243.15"/>
    <n v="56566.48"/>
  </r>
  <r>
    <n v="120"/>
    <x v="4"/>
    <x v="0"/>
    <s v="Mountain Bikes"/>
    <x v="4"/>
    <n v="1294854"/>
    <n v="582"/>
    <n v="565"/>
    <n v="23"/>
    <x v="0"/>
    <n v="149"/>
    <n v="2224.84"/>
    <n v="56298"/>
  </r>
  <r>
    <n v="124"/>
    <x v="5"/>
    <x v="0"/>
    <s v="Mountain Bikes"/>
    <x v="5"/>
    <n v="1257368"/>
    <n v="560"/>
    <n v="547"/>
    <n v="23"/>
    <x v="0"/>
    <n v="149"/>
    <n v="2245.3000000000002"/>
    <n v="54668.17"/>
  </r>
  <r>
    <n v="17"/>
    <x v="6"/>
    <x v="0"/>
    <s v="Road Bikes"/>
    <x v="6"/>
    <n v="1205786"/>
    <n v="337"/>
    <n v="337"/>
    <n v="11"/>
    <x v="0"/>
    <n v="173"/>
    <n v="3578"/>
    <n v="109616.91"/>
  </r>
  <r>
    <n v="20"/>
    <x v="7"/>
    <x v="0"/>
    <s v="Road Bikes"/>
    <x v="7"/>
    <n v="1202208"/>
    <n v="336"/>
    <n v="336"/>
    <n v="11"/>
    <x v="0"/>
    <n v="173"/>
    <n v="3578"/>
    <n v="109291.64"/>
  </r>
  <r>
    <n v="18"/>
    <x v="8"/>
    <x v="0"/>
    <s v="Road Bikes"/>
    <x v="8"/>
    <n v="1080556"/>
    <n v="302"/>
    <n v="302"/>
    <n v="11"/>
    <x v="0"/>
    <n v="173"/>
    <n v="3578"/>
    <n v="98232.36"/>
  </r>
  <r>
    <n v="19"/>
    <x v="9"/>
    <x v="0"/>
    <s v="Road Bikes"/>
    <x v="9"/>
    <n v="1055510"/>
    <n v="295"/>
    <n v="295"/>
    <n v="11"/>
    <x v="0"/>
    <n v="173"/>
    <n v="3578"/>
    <n v="95955.45"/>
  </r>
  <r>
    <n v="16"/>
    <x v="10"/>
    <x v="0"/>
    <s v="Road Bikes"/>
    <x v="10"/>
    <n v="1005418"/>
    <n v="281"/>
    <n v="281"/>
    <n v="11"/>
    <x v="0"/>
    <n v="173"/>
    <n v="3578"/>
    <n v="91401.64"/>
  </r>
  <r>
    <n v="141"/>
    <x v="11"/>
    <x v="0"/>
    <s v="Road Bikes"/>
    <x v="11"/>
    <n v="734425"/>
    <n v="319"/>
    <n v="312"/>
    <n v="23"/>
    <x v="1"/>
    <n v="149"/>
    <n v="2302.27"/>
    <n v="31931.52"/>
  </r>
  <r>
    <n v="143"/>
    <x v="12"/>
    <x v="0"/>
    <s v="Road Bikes"/>
    <x v="12"/>
    <n v="702666"/>
    <n v="306"/>
    <n v="301"/>
    <n v="23"/>
    <x v="1"/>
    <n v="149"/>
    <n v="2296.29"/>
    <n v="30550.7"/>
  </r>
  <r>
    <n v="140"/>
    <x v="13"/>
    <x v="0"/>
    <s v="Road Bikes"/>
    <x v="13"/>
    <n v="691213"/>
    <n v="298"/>
    <n v="289"/>
    <n v="23"/>
    <x v="1"/>
    <n v="149"/>
    <n v="2319.5100000000002"/>
    <n v="30052.74"/>
  </r>
  <r>
    <n v="139"/>
    <x v="14"/>
    <x v="0"/>
    <s v="Road Bikes"/>
    <x v="14"/>
    <n v="628384"/>
    <n v="271"/>
    <n v="266"/>
    <n v="23"/>
    <x v="1"/>
    <n v="149"/>
    <n v="2318.7600000000002"/>
    <n v="27321.040000000001"/>
  </r>
  <r>
    <n v="142"/>
    <x v="15"/>
    <x v="0"/>
    <s v="Road Bikes"/>
    <x v="15"/>
    <n v="622026"/>
    <n v="270"/>
    <n v="265"/>
    <n v="23"/>
    <x v="1"/>
    <n v="149"/>
    <n v="2303.8000000000002"/>
    <n v="27044.61"/>
  </r>
  <r>
    <n v="158"/>
    <x v="16"/>
    <x v="0"/>
    <s v="Touring Bikes"/>
    <x v="16"/>
    <n v="421968"/>
    <n v="177"/>
    <n v="177"/>
    <n v="11"/>
    <x v="1"/>
    <n v="149"/>
    <n v="2384"/>
    <n v="38360.730000000003"/>
  </r>
  <r>
    <n v="135"/>
    <x v="17"/>
    <x v="0"/>
    <s v="Road Bikes"/>
    <x v="17"/>
    <n v="418446"/>
    <n v="246"/>
    <n v="246"/>
    <n v="11"/>
    <x v="1"/>
    <n v="149"/>
    <n v="1701"/>
    <n v="38040.550000000003"/>
  </r>
  <r>
    <n v="162"/>
    <x v="18"/>
    <x v="0"/>
    <s v="Touring Bikes"/>
    <x v="18"/>
    <n v="410048"/>
    <n v="172"/>
    <n v="170"/>
    <n v="11"/>
    <x v="1"/>
    <n v="149"/>
    <n v="2384"/>
    <n v="37277.089999999997"/>
  </r>
  <r>
    <n v="136"/>
    <x v="19"/>
    <x v="0"/>
    <s v="Road Bikes"/>
    <x v="19"/>
    <n v="399735"/>
    <n v="235"/>
    <n v="235"/>
    <n v="11"/>
    <x v="1"/>
    <n v="149"/>
    <n v="1701"/>
    <n v="36339.550000000003"/>
  </r>
  <r>
    <n v="49"/>
    <x v="20"/>
    <x v="0"/>
    <s v="Road Bikes"/>
    <x v="20"/>
    <n v="395766"/>
    <n v="162"/>
    <n v="162"/>
    <n v="11"/>
    <x v="1"/>
    <n v="161"/>
    <n v="2443"/>
    <n v="35978.730000000003"/>
  </r>
  <r>
    <n v="138"/>
    <x v="21"/>
    <x v="0"/>
    <s v="Road Bikes"/>
    <x v="21"/>
    <n v="394632"/>
    <n v="232"/>
    <n v="232"/>
    <n v="11"/>
    <x v="1"/>
    <n v="149"/>
    <n v="1701"/>
    <n v="35875.64"/>
  </r>
  <r>
    <n v="160"/>
    <x v="22"/>
    <x v="0"/>
    <s v="Touring Bikes"/>
    <x v="22"/>
    <n v="381440"/>
    <n v="160"/>
    <n v="160"/>
    <n v="11"/>
    <x v="1"/>
    <n v="149"/>
    <n v="2384"/>
    <n v="34676.36"/>
  </r>
  <r>
    <n v="164"/>
    <x v="23"/>
    <x v="0"/>
    <s v="Touring Bikes"/>
    <x v="23"/>
    <n v="376672"/>
    <n v="158"/>
    <n v="158"/>
    <n v="11"/>
    <x v="1"/>
    <n v="149"/>
    <n v="2384"/>
    <n v="34242.910000000003"/>
  </r>
  <r>
    <n v="137"/>
    <x v="24"/>
    <x v="0"/>
    <s v="Road Bikes"/>
    <x v="24"/>
    <n v="367416"/>
    <n v="216"/>
    <n v="216"/>
    <n v="11"/>
    <x v="1"/>
    <n v="149"/>
    <n v="1701"/>
    <n v="33401.449999999997"/>
  </r>
  <r>
    <n v="163"/>
    <x v="25"/>
    <x v="0"/>
    <s v="Touring Bikes"/>
    <x v="25"/>
    <n v="359984"/>
    <n v="151"/>
    <n v="150"/>
    <n v="11"/>
    <x v="1"/>
    <n v="149"/>
    <n v="2384"/>
    <n v="32725.82"/>
  </r>
  <r>
    <n v="159"/>
    <x v="26"/>
    <x v="0"/>
    <s v="Touring Bikes"/>
    <x v="26"/>
    <n v="357600"/>
    <n v="150"/>
    <n v="150"/>
    <n v="11"/>
    <x v="1"/>
    <n v="149"/>
    <n v="2384"/>
    <n v="32509.09"/>
  </r>
  <r>
    <n v="48"/>
    <x v="27"/>
    <x v="0"/>
    <s v="Road Bikes"/>
    <x v="27"/>
    <n v="351792"/>
    <n v="144"/>
    <n v="144"/>
    <n v="11"/>
    <x v="1"/>
    <n v="161"/>
    <n v="2443"/>
    <n v="31981.09"/>
  </r>
  <r>
    <n v="161"/>
    <x v="28"/>
    <x v="0"/>
    <s v="Touring Bikes"/>
    <x v="28"/>
    <n v="350448"/>
    <n v="147"/>
    <n v="147"/>
    <n v="11"/>
    <x v="1"/>
    <n v="149"/>
    <n v="2384"/>
    <n v="31858.91"/>
  </r>
  <r>
    <n v="132"/>
    <x v="29"/>
    <x v="0"/>
    <s v="Road Bikes"/>
    <x v="12"/>
    <n v="334440"/>
    <n v="306"/>
    <n v="303"/>
    <n v="23"/>
    <x v="1"/>
    <n v="149"/>
    <n v="1092.94"/>
    <n v="14540.87"/>
  </r>
  <r>
    <n v="165"/>
    <x v="30"/>
    <x v="0"/>
    <s v="Touring Bikes"/>
    <x v="29"/>
    <n v="333760"/>
    <n v="140"/>
    <n v="140"/>
    <n v="11"/>
    <x v="1"/>
    <n v="149"/>
    <n v="2384"/>
    <n v="30341.82"/>
  </r>
  <r>
    <n v="50"/>
    <x v="31"/>
    <x v="0"/>
    <s v="Road Bikes"/>
    <x v="30"/>
    <n v="324919"/>
    <n v="133"/>
    <n v="133"/>
    <n v="11"/>
    <x v="1"/>
    <n v="161"/>
    <n v="2443"/>
    <n v="29538.09"/>
  </r>
  <r>
    <n v="133"/>
    <x v="32"/>
    <x v="0"/>
    <s v="Road Bikes"/>
    <x v="31"/>
    <n v="312200"/>
    <n v="287"/>
    <n v="286"/>
    <n v="23"/>
    <x v="1"/>
    <n v="149"/>
    <n v="1087.8"/>
    <n v="13573.91"/>
  </r>
  <r>
    <n v="130"/>
    <x v="33"/>
    <x v="0"/>
    <s v="Road Bikes"/>
    <x v="15"/>
    <n v="293760"/>
    <n v="270"/>
    <n v="267"/>
    <n v="23"/>
    <x v="1"/>
    <n v="149"/>
    <n v="1088"/>
    <n v="12772.17"/>
  </r>
  <r>
    <n v="131"/>
    <x v="34"/>
    <x v="0"/>
    <s v="Road Bikes"/>
    <x v="32"/>
    <n v="289880"/>
    <n v="266"/>
    <n v="264"/>
    <n v="23"/>
    <x v="1"/>
    <n v="149"/>
    <n v="1089.77"/>
    <n v="12603.48"/>
  </r>
  <r>
    <n v="134"/>
    <x v="35"/>
    <x v="0"/>
    <s v="Road Bikes"/>
    <x v="33"/>
    <n v="283680"/>
    <n v="261"/>
    <n v="258"/>
    <n v="22"/>
    <x v="1"/>
    <n v="149"/>
    <n v="1086.9000000000001"/>
    <n v="12894.55"/>
  </r>
  <r>
    <n v="128"/>
    <x v="36"/>
    <x v="0"/>
    <s v="Road Bikes"/>
    <x v="34"/>
    <n v="208440"/>
    <n v="386"/>
    <n v="386"/>
    <n v="12"/>
    <x v="1"/>
    <n v="149"/>
    <n v="540"/>
    <n v="17370"/>
  </r>
  <r>
    <n v="5"/>
    <x v="37"/>
    <x v="0"/>
    <s v="Mountain Bikes"/>
    <x v="35"/>
    <n v="202500"/>
    <n v="60"/>
    <n v="60"/>
    <n v="11"/>
    <x v="1"/>
    <n v="173"/>
    <n v="3375"/>
    <n v="18409.09"/>
  </r>
  <r>
    <n v="7"/>
    <x v="38"/>
    <x v="0"/>
    <s v="Mountain Bikes"/>
    <x v="36"/>
    <n v="197200"/>
    <n v="58"/>
    <n v="58"/>
    <n v="11"/>
    <x v="2"/>
    <n v="173"/>
    <n v="3400"/>
    <n v="17927.27"/>
  </r>
  <r>
    <n v="127"/>
    <x v="39"/>
    <x v="0"/>
    <s v="Road Bikes"/>
    <x v="37"/>
    <n v="196020"/>
    <n v="363"/>
    <n v="363"/>
    <n v="11"/>
    <x v="2"/>
    <n v="149"/>
    <n v="540"/>
    <n v="17820"/>
  </r>
  <r>
    <n v="126"/>
    <x v="40"/>
    <x v="0"/>
    <s v="Road Bikes"/>
    <x v="38"/>
    <n v="194400"/>
    <n v="360"/>
    <n v="360"/>
    <n v="11"/>
    <x v="2"/>
    <n v="149"/>
    <n v="540"/>
    <n v="17672.73"/>
  </r>
  <r>
    <n v="6"/>
    <x v="41"/>
    <x v="0"/>
    <s v="Mountain Bikes"/>
    <x v="39"/>
    <n v="192375"/>
    <n v="57"/>
    <n v="57"/>
    <n v="11"/>
    <x v="2"/>
    <n v="173"/>
    <n v="3375"/>
    <n v="17488.64"/>
  </r>
  <r>
    <n v="129"/>
    <x v="42"/>
    <x v="0"/>
    <s v="Road Bikes"/>
    <x v="40"/>
    <n v="180360"/>
    <n v="334"/>
    <n v="334"/>
    <n v="11"/>
    <x v="2"/>
    <n v="149"/>
    <n v="540"/>
    <n v="16396.36"/>
  </r>
  <r>
    <n v="9"/>
    <x v="43"/>
    <x v="0"/>
    <s v="Mountain Bikes"/>
    <x v="41"/>
    <n v="166600"/>
    <n v="49"/>
    <n v="49"/>
    <n v="11"/>
    <x v="2"/>
    <n v="173"/>
    <n v="3400"/>
    <n v="15145.45"/>
  </r>
  <r>
    <n v="3"/>
    <x v="44"/>
    <x v="0"/>
    <s v="Mountain Bikes"/>
    <x v="41"/>
    <n v="165375"/>
    <n v="49"/>
    <n v="49"/>
    <n v="11"/>
    <x v="2"/>
    <n v="173"/>
    <n v="3375"/>
    <n v="15034.09"/>
  </r>
  <r>
    <n v="4"/>
    <x v="45"/>
    <x v="0"/>
    <s v="Mountain Bikes"/>
    <x v="42"/>
    <n v="151875"/>
    <n v="45"/>
    <n v="45"/>
    <n v="11"/>
    <x v="2"/>
    <n v="173"/>
    <n v="3375"/>
    <n v="13806.82"/>
  </r>
  <r>
    <n v="8"/>
    <x v="46"/>
    <x v="0"/>
    <s v="Mountain Bikes"/>
    <x v="43"/>
    <n v="142800"/>
    <n v="42"/>
    <n v="42"/>
    <n v="11"/>
    <x v="2"/>
    <n v="173"/>
    <n v="3400"/>
    <n v="12981.82"/>
  </r>
  <r>
    <n v="155"/>
    <x v="47"/>
    <x v="0"/>
    <s v="Touring Bikes"/>
    <x v="44"/>
    <n v="128790"/>
    <n v="106"/>
    <n v="106"/>
    <n v="11"/>
    <x v="2"/>
    <n v="149"/>
    <n v="1215"/>
    <n v="11708.18"/>
  </r>
  <r>
    <n v="10"/>
    <x v="48"/>
    <x v="0"/>
    <s v="Mountain Bikes"/>
    <x v="45"/>
    <n v="122400"/>
    <n v="36"/>
    <n v="36"/>
    <n v="11"/>
    <x v="2"/>
    <n v="173"/>
    <n v="3400"/>
    <n v="11127.27"/>
  </r>
  <r>
    <n v="154"/>
    <x v="49"/>
    <x v="0"/>
    <s v="Touring Bikes"/>
    <x v="46"/>
    <n v="117855"/>
    <n v="97"/>
    <n v="97"/>
    <n v="11"/>
    <x v="2"/>
    <n v="149"/>
    <n v="1215"/>
    <n v="10714.09"/>
  </r>
  <r>
    <n v="116"/>
    <x v="50"/>
    <x v="0"/>
    <s v="Mountain Bikes"/>
    <x v="47"/>
    <n v="113812"/>
    <n v="148"/>
    <n v="148"/>
    <n v="11"/>
    <x v="2"/>
    <n v="149"/>
    <n v="769"/>
    <n v="10346.549999999999"/>
  </r>
  <r>
    <n v="156"/>
    <x v="51"/>
    <x v="0"/>
    <s v="Touring Bikes"/>
    <x v="48"/>
    <n v="106920"/>
    <n v="88"/>
    <n v="88"/>
    <n v="11"/>
    <x v="2"/>
    <n v="149"/>
    <n v="1215"/>
    <n v="9720"/>
  </r>
  <r>
    <n v="119"/>
    <x v="52"/>
    <x v="0"/>
    <s v="Mountain Bikes"/>
    <x v="49"/>
    <n v="106122"/>
    <n v="138"/>
    <n v="138"/>
    <n v="11"/>
    <x v="2"/>
    <n v="149"/>
    <n v="769"/>
    <n v="9647.4500000000007"/>
  </r>
  <r>
    <n v="118"/>
    <x v="53"/>
    <x v="0"/>
    <s v="Mountain Bikes"/>
    <x v="50"/>
    <n v="99201"/>
    <n v="129"/>
    <n v="129"/>
    <n v="11"/>
    <x v="2"/>
    <n v="149"/>
    <n v="769"/>
    <n v="9018.27"/>
  </r>
  <r>
    <n v="117"/>
    <x v="54"/>
    <x v="0"/>
    <s v="Mountain Bikes"/>
    <x v="51"/>
    <n v="98432"/>
    <n v="128"/>
    <n v="128"/>
    <n v="11"/>
    <x v="2"/>
    <n v="149"/>
    <n v="769"/>
    <n v="8948.36"/>
  </r>
  <r>
    <n v="157"/>
    <x v="55"/>
    <x v="0"/>
    <s v="Touring Bikes"/>
    <x v="52"/>
    <n v="98415"/>
    <n v="81"/>
    <n v="81"/>
    <n v="11"/>
    <x v="2"/>
    <n v="149"/>
    <n v="1215"/>
    <n v="8946.82"/>
  </r>
  <r>
    <n v="246"/>
    <x v="56"/>
    <x v="1"/>
    <s v="Helmets"/>
    <x v="53"/>
    <n v="78050"/>
    <n v="2230"/>
    <n v="2147"/>
    <n v="13"/>
    <x v="2"/>
    <n v="148"/>
    <n v="35"/>
    <n v="6003.85"/>
  </r>
  <r>
    <n v="245"/>
    <x v="57"/>
    <x v="1"/>
    <s v="Helmets"/>
    <x v="54"/>
    <n v="74410"/>
    <n v="2126"/>
    <n v="2050"/>
    <n v="13"/>
    <x v="2"/>
    <n v="148"/>
    <n v="35.020000000000003"/>
    <n v="5723.85"/>
  </r>
  <r>
    <n v="244"/>
    <x v="58"/>
    <x v="1"/>
    <s v="Helmets"/>
    <x v="55"/>
    <n v="72975"/>
    <n v="2085"/>
    <n v="2024"/>
    <n v="13"/>
    <x v="2"/>
    <n v="148"/>
    <n v="35"/>
    <n v="5613.46"/>
  </r>
  <r>
    <n v="38"/>
    <x v="59"/>
    <x v="0"/>
    <s v="Road Bikes"/>
    <x v="56"/>
    <n v="66915"/>
    <n v="89"/>
    <n v="89"/>
    <n v="22"/>
    <x v="2"/>
    <n v="161"/>
    <n v="751.85"/>
    <n v="3041.59"/>
  </r>
  <r>
    <n v="43"/>
    <x v="60"/>
    <x v="0"/>
    <s v="Road Bikes"/>
    <x v="48"/>
    <n v="66720"/>
    <n v="88"/>
    <n v="88"/>
    <n v="23"/>
    <x v="2"/>
    <n v="161"/>
    <n v="758.18"/>
    <n v="2900.87"/>
  </r>
  <r>
    <n v="39"/>
    <x v="61"/>
    <x v="0"/>
    <s v="Road Bikes"/>
    <x v="57"/>
    <n v="57996"/>
    <n v="76"/>
    <n v="76"/>
    <n v="23"/>
    <x v="2"/>
    <n v="161"/>
    <n v="763.11"/>
    <n v="2521.5700000000002"/>
  </r>
  <r>
    <n v="47"/>
    <x v="62"/>
    <x v="0"/>
    <s v="Road Bikes"/>
    <x v="58"/>
    <n v="57381"/>
    <n v="75"/>
    <n v="75"/>
    <n v="22"/>
    <x v="2"/>
    <n v="161"/>
    <n v="765.08"/>
    <n v="2608.23"/>
  </r>
  <r>
    <n v="40"/>
    <x v="63"/>
    <x v="0"/>
    <s v="Road Bikes"/>
    <x v="57"/>
    <n v="57156"/>
    <n v="76"/>
    <n v="76"/>
    <n v="22"/>
    <x v="2"/>
    <n v="161"/>
    <n v="752.05"/>
    <n v="2598"/>
  </r>
  <r>
    <n v="45"/>
    <x v="64"/>
    <x v="0"/>
    <s v="Road Bikes"/>
    <x v="59"/>
    <n v="56346"/>
    <n v="74"/>
    <n v="74"/>
    <n v="22"/>
    <x v="2"/>
    <n v="161"/>
    <n v="761.43"/>
    <n v="2561.1799999999998"/>
  </r>
  <r>
    <n v="42"/>
    <x v="65"/>
    <x v="0"/>
    <s v="Road Bikes"/>
    <x v="60"/>
    <n v="54528"/>
    <n v="72"/>
    <n v="72"/>
    <n v="23"/>
    <x v="2"/>
    <n v="161"/>
    <n v="757.33"/>
    <n v="2370.7800000000002"/>
  </r>
  <r>
    <n v="41"/>
    <x v="66"/>
    <x v="0"/>
    <s v="Road Bikes"/>
    <x v="61"/>
    <n v="49047"/>
    <n v="65"/>
    <n v="65"/>
    <n v="23"/>
    <x v="2"/>
    <n v="161"/>
    <n v="754.57"/>
    <n v="2132.48"/>
  </r>
  <r>
    <n v="284"/>
    <x v="67"/>
    <x v="1"/>
    <s v="Tires and Tubes"/>
    <x v="62"/>
    <n v="48895"/>
    <n v="1397"/>
    <n v="1396"/>
    <n v="13"/>
    <x v="2"/>
    <n v="148"/>
    <n v="35.03"/>
    <n v="3761.15"/>
  </r>
  <r>
    <n v="36"/>
    <x v="68"/>
    <x v="0"/>
    <s v="Road Bikes"/>
    <x v="63"/>
    <n v="47565"/>
    <n v="63"/>
    <n v="63"/>
    <n v="23"/>
    <x v="2"/>
    <n v="161"/>
    <n v="755"/>
    <n v="2068.04"/>
  </r>
  <r>
    <n v="148"/>
    <x v="69"/>
    <x v="0"/>
    <s v="Touring Bikes"/>
    <x v="64"/>
    <n v="47488"/>
    <n v="64"/>
    <n v="64"/>
    <n v="10"/>
    <x v="2"/>
    <n v="149"/>
    <n v="742"/>
    <n v="4748.8"/>
  </r>
  <r>
    <n v="174"/>
    <x v="70"/>
    <x v="1"/>
    <s v="Fenders"/>
    <x v="65"/>
    <n v="46662"/>
    <n v="2121"/>
    <n v="2110"/>
    <n v="12"/>
    <x v="2"/>
    <n v="148"/>
    <n v="22"/>
    <n v="3888.5"/>
  </r>
  <r>
    <n v="44"/>
    <x v="71"/>
    <x v="0"/>
    <s v="Road Bikes"/>
    <x v="66"/>
    <n v="46083"/>
    <n v="61"/>
    <n v="61"/>
    <n v="23"/>
    <x v="2"/>
    <n v="161"/>
    <n v="755.46"/>
    <n v="2003.61"/>
  </r>
  <r>
    <n v="37"/>
    <x v="72"/>
    <x v="0"/>
    <s v="Road Bikes"/>
    <x v="35"/>
    <n v="45552"/>
    <n v="60"/>
    <n v="60"/>
    <n v="20"/>
    <x v="2"/>
    <n v="161"/>
    <n v="759.2"/>
    <n v="2277.6"/>
  </r>
  <r>
    <n v="149"/>
    <x v="73"/>
    <x v="0"/>
    <s v="Touring Bikes"/>
    <x v="67"/>
    <n v="43778"/>
    <n v="59"/>
    <n v="59"/>
    <n v="10"/>
    <x v="2"/>
    <n v="149"/>
    <n v="742"/>
    <n v="4377.8"/>
  </r>
  <r>
    <n v="150"/>
    <x v="74"/>
    <x v="0"/>
    <s v="Touring Bikes"/>
    <x v="67"/>
    <n v="43778"/>
    <n v="59"/>
    <n v="59"/>
    <n v="11"/>
    <x v="2"/>
    <n v="149"/>
    <n v="742"/>
    <n v="3979.82"/>
  </r>
  <r>
    <n v="147"/>
    <x v="75"/>
    <x v="0"/>
    <s v="Touring Bikes"/>
    <x v="39"/>
    <n v="42294"/>
    <n v="57"/>
    <n v="57"/>
    <n v="11"/>
    <x v="2"/>
    <n v="149"/>
    <n v="742"/>
    <n v="3844.91"/>
  </r>
  <r>
    <n v="146"/>
    <x v="76"/>
    <x v="0"/>
    <s v="Touring Bikes"/>
    <x v="68"/>
    <n v="40810"/>
    <n v="55"/>
    <n v="55"/>
    <n v="11"/>
    <x v="2"/>
    <n v="149"/>
    <n v="742"/>
    <n v="3710"/>
  </r>
  <r>
    <n v="247"/>
    <x v="77"/>
    <x v="1"/>
    <s v="Hydration Packs"/>
    <x v="69"/>
    <n v="40315"/>
    <n v="733"/>
    <n v="719"/>
    <n v="12"/>
    <x v="2"/>
    <n v="148"/>
    <n v="55"/>
    <n v="3359.58"/>
  </r>
  <r>
    <n v="46"/>
    <x v="78"/>
    <x v="0"/>
    <s v="Road Bikes"/>
    <x v="70"/>
    <n v="40071"/>
    <n v="53"/>
    <n v="53"/>
    <n v="22"/>
    <x v="2"/>
    <n v="161"/>
    <n v="756.06"/>
    <n v="1821.41"/>
  </r>
  <r>
    <n v="281"/>
    <x v="79"/>
    <x v="1"/>
    <s v="Bike Stands"/>
    <x v="71"/>
    <n v="39591"/>
    <n v="249"/>
    <n v="243"/>
    <n v="13"/>
    <x v="2"/>
    <n v="148"/>
    <n v="159"/>
    <n v="3045.46"/>
  </r>
  <r>
    <n v="260"/>
    <x v="80"/>
    <x v="1"/>
    <s v="Bike Racks"/>
    <x v="72"/>
    <n v="39360"/>
    <n v="328"/>
    <n v="325"/>
    <n v="12"/>
    <x v="2"/>
    <n v="148"/>
    <n v="120"/>
    <n v="3280"/>
  </r>
  <r>
    <n v="144"/>
    <x v="81"/>
    <x v="0"/>
    <s v="Touring Bikes"/>
    <x v="70"/>
    <n v="39326"/>
    <n v="53"/>
    <n v="53"/>
    <n v="11"/>
    <x v="2"/>
    <n v="149"/>
    <n v="742"/>
    <n v="3575.09"/>
  </r>
  <r>
    <n v="153"/>
    <x v="82"/>
    <x v="0"/>
    <s v="Touring Bikes"/>
    <x v="73"/>
    <n v="37100"/>
    <n v="50"/>
    <n v="50"/>
    <n v="11"/>
    <x v="2"/>
    <n v="149"/>
    <n v="742"/>
    <n v="3372.73"/>
  </r>
  <r>
    <n v="145"/>
    <x v="83"/>
    <x v="0"/>
    <s v="Touring Bikes"/>
    <x v="74"/>
    <n v="35616"/>
    <n v="48"/>
    <n v="48"/>
    <n v="11"/>
    <x v="2"/>
    <n v="149"/>
    <n v="742"/>
    <n v="3237.82"/>
  </r>
  <r>
    <n v="151"/>
    <x v="84"/>
    <x v="0"/>
    <s v="Touring Bikes"/>
    <x v="74"/>
    <n v="35616"/>
    <n v="48"/>
    <n v="48"/>
    <n v="10"/>
    <x v="2"/>
    <n v="149"/>
    <n v="742"/>
    <n v="3561.6"/>
  </r>
  <r>
    <n v="152"/>
    <x v="85"/>
    <x v="0"/>
    <s v="Touring Bikes"/>
    <x v="75"/>
    <n v="34874"/>
    <n v="47"/>
    <n v="47"/>
    <n v="11"/>
    <x v="2"/>
    <n v="149"/>
    <n v="742"/>
    <n v="3170.36"/>
  </r>
  <r>
    <n v="283"/>
    <x v="86"/>
    <x v="1"/>
    <s v="Tires and Tubes"/>
    <x v="76"/>
    <n v="34830"/>
    <n v="1161"/>
    <n v="1161"/>
    <n v="12"/>
    <x v="2"/>
    <n v="148"/>
    <n v="30"/>
    <n v="2902.5"/>
  </r>
  <r>
    <n v="108"/>
    <x v="87"/>
    <x v="0"/>
    <s v="Mountain Bikes"/>
    <x v="36"/>
    <n v="31320"/>
    <n v="58"/>
    <n v="58"/>
    <n v="11"/>
    <x v="2"/>
    <n v="149"/>
    <n v="540"/>
    <n v="2847.27"/>
  </r>
  <r>
    <n v="109"/>
    <x v="88"/>
    <x v="0"/>
    <s v="Mountain Bikes"/>
    <x v="77"/>
    <n v="30240"/>
    <n v="56"/>
    <n v="56"/>
    <n v="11"/>
    <x v="2"/>
    <n v="149"/>
    <n v="540"/>
    <n v="2749.09"/>
  </r>
  <r>
    <n v="287"/>
    <x v="89"/>
    <x v="1"/>
    <s v="Tires and Tubes"/>
    <x v="78"/>
    <n v="28314"/>
    <n v="858"/>
    <n v="820"/>
    <n v="13"/>
    <x v="2"/>
    <n v="148"/>
    <n v="33"/>
    <n v="2178"/>
  </r>
  <r>
    <n v="114"/>
    <x v="90"/>
    <x v="0"/>
    <s v="Mountain Bikes"/>
    <x v="73"/>
    <n v="28250"/>
    <n v="50"/>
    <n v="50"/>
    <n v="11"/>
    <x v="2"/>
    <n v="149"/>
    <n v="565"/>
    <n v="2568.1799999999998"/>
  </r>
  <r>
    <n v="115"/>
    <x v="91"/>
    <x v="0"/>
    <s v="Mountain Bikes"/>
    <x v="74"/>
    <n v="27120"/>
    <n v="48"/>
    <n v="48"/>
    <n v="11"/>
    <x v="2"/>
    <n v="149"/>
    <n v="565"/>
    <n v="2465.4499999999998"/>
  </r>
  <r>
    <n v="288"/>
    <x v="92"/>
    <x v="1"/>
    <s v="Tires and Tubes"/>
    <x v="79"/>
    <n v="27115"/>
    <n v="935"/>
    <n v="920"/>
    <n v="12"/>
    <x v="2"/>
    <n v="148"/>
    <n v="29"/>
    <n v="2259.58"/>
  </r>
  <r>
    <n v="107"/>
    <x v="93"/>
    <x v="0"/>
    <s v="Mountain Bikes"/>
    <x v="41"/>
    <n v="26460"/>
    <n v="49"/>
    <n v="49"/>
    <n v="11"/>
    <x v="2"/>
    <n v="149"/>
    <n v="540"/>
    <n v="2405.4499999999998"/>
  </r>
  <r>
    <n v="106"/>
    <x v="94"/>
    <x v="0"/>
    <s v="Mountain Bikes"/>
    <x v="74"/>
    <n v="25920"/>
    <n v="48"/>
    <n v="48"/>
    <n v="11"/>
    <x v="2"/>
    <n v="149"/>
    <n v="540"/>
    <n v="2356.36"/>
  </r>
  <r>
    <n v="111"/>
    <x v="95"/>
    <x v="0"/>
    <s v="Mountain Bikes"/>
    <x v="42"/>
    <n v="25425"/>
    <n v="45"/>
    <n v="45"/>
    <n v="11"/>
    <x v="2"/>
    <n v="149"/>
    <n v="565"/>
    <n v="2311.36"/>
  </r>
  <r>
    <n v="112"/>
    <x v="96"/>
    <x v="0"/>
    <s v="Mountain Bikes"/>
    <x v="42"/>
    <n v="25425"/>
    <n v="45"/>
    <n v="45"/>
    <n v="11"/>
    <x v="2"/>
    <n v="149"/>
    <n v="565"/>
    <n v="2311.36"/>
  </r>
  <r>
    <n v="272"/>
    <x v="97"/>
    <x v="2"/>
    <s v="Shorts"/>
    <x v="37"/>
    <n v="25410"/>
    <n v="363"/>
    <n v="363"/>
    <n v="12"/>
    <x v="2"/>
    <n v="148"/>
    <n v="70"/>
    <n v="2117.5"/>
  </r>
  <r>
    <n v="273"/>
    <x v="98"/>
    <x v="2"/>
    <s v="Shorts"/>
    <x v="80"/>
    <n v="24640"/>
    <n v="352"/>
    <n v="352"/>
    <n v="12"/>
    <x v="2"/>
    <n v="148"/>
    <n v="70"/>
    <n v="2053.33"/>
  </r>
  <r>
    <n v="286"/>
    <x v="99"/>
    <x v="1"/>
    <s v="Tires and Tubes"/>
    <x v="81"/>
    <n v="23150"/>
    <n v="926"/>
    <n v="891"/>
    <n v="12"/>
    <x v="2"/>
    <n v="148"/>
    <n v="25"/>
    <n v="1929.17"/>
  </r>
  <r>
    <n v="248"/>
    <x v="100"/>
    <x v="2"/>
    <s v="Jerseys"/>
    <x v="82"/>
    <n v="22650"/>
    <n v="453"/>
    <n v="449"/>
    <n v="13"/>
    <x v="2"/>
    <n v="148"/>
    <n v="50.11"/>
    <n v="1742.31"/>
  </r>
  <r>
    <n v="110"/>
    <x v="101"/>
    <x v="0"/>
    <s v="Mountain Bikes"/>
    <x v="83"/>
    <n v="22140"/>
    <n v="41"/>
    <n v="41"/>
    <n v="11"/>
    <x v="2"/>
    <n v="149"/>
    <n v="540"/>
    <n v="2012.73"/>
  </r>
  <r>
    <n v="249"/>
    <x v="102"/>
    <x v="2"/>
    <s v="Jerseys"/>
    <x v="84"/>
    <n v="22100"/>
    <n v="442"/>
    <n v="436"/>
    <n v="13"/>
    <x v="2"/>
    <n v="148"/>
    <n v="50"/>
    <n v="1700"/>
  </r>
  <r>
    <n v="278"/>
    <x v="103"/>
    <x v="2"/>
    <s v="Jerseys"/>
    <x v="85"/>
    <n v="22086"/>
    <n v="409"/>
    <n v="405"/>
    <n v="12"/>
    <x v="2"/>
    <n v="148"/>
    <n v="54"/>
    <n v="1840.5"/>
  </r>
  <r>
    <n v="113"/>
    <x v="104"/>
    <x v="0"/>
    <s v="Mountain Bikes"/>
    <x v="86"/>
    <n v="22035"/>
    <n v="39"/>
    <n v="39"/>
    <n v="11"/>
    <x v="2"/>
    <n v="149"/>
    <n v="565"/>
    <n v="2003.18"/>
  </r>
  <r>
    <n v="276"/>
    <x v="105"/>
    <x v="2"/>
    <s v="Jerseys"/>
    <x v="87"/>
    <n v="21978"/>
    <n v="407"/>
    <n v="404"/>
    <n v="12"/>
    <x v="2"/>
    <n v="148"/>
    <n v="54"/>
    <n v="1831.5"/>
  </r>
  <r>
    <n v="277"/>
    <x v="106"/>
    <x v="2"/>
    <s v="Jerseys"/>
    <x v="88"/>
    <n v="21924"/>
    <n v="406"/>
    <n v="402"/>
    <n v="12"/>
    <x v="2"/>
    <n v="148"/>
    <n v="54"/>
    <n v="1827"/>
  </r>
  <r>
    <n v="285"/>
    <x v="107"/>
    <x v="1"/>
    <s v="Tires and Tubes"/>
    <x v="89"/>
    <n v="21924"/>
    <n v="1044"/>
    <n v="1030"/>
    <n v="13"/>
    <x v="2"/>
    <n v="148"/>
    <n v="21"/>
    <n v="1686.46"/>
  </r>
  <r>
    <n v="282"/>
    <x v="108"/>
    <x v="1"/>
    <s v="Tires and Tubes"/>
    <x v="90"/>
    <n v="21600"/>
    <n v="864"/>
    <n v="830"/>
    <n v="12"/>
    <x v="2"/>
    <n v="148"/>
    <n v="25.06"/>
    <n v="1800"/>
  </r>
  <r>
    <n v="250"/>
    <x v="109"/>
    <x v="2"/>
    <s v="Jerseys"/>
    <x v="91"/>
    <n v="21450"/>
    <n v="429"/>
    <n v="426"/>
    <n v="12"/>
    <x v="2"/>
    <n v="148"/>
    <n v="50"/>
    <n v="1787.5"/>
  </r>
  <r>
    <n v="274"/>
    <x v="110"/>
    <x v="2"/>
    <s v="Shorts"/>
    <x v="92"/>
    <n v="21280"/>
    <n v="304"/>
    <n v="304"/>
    <n v="12"/>
    <x v="2"/>
    <n v="148"/>
    <n v="70"/>
    <n v="1773.33"/>
  </r>
  <r>
    <n v="295"/>
    <x v="111"/>
    <x v="1"/>
    <s v="Bottles and Cages"/>
    <x v="93"/>
    <n v="21245"/>
    <n v="4249"/>
    <n v="4073"/>
    <n v="13"/>
    <x v="2"/>
    <n v="148"/>
    <n v="5.01"/>
    <n v="1634.23"/>
  </r>
  <r>
    <n v="251"/>
    <x v="112"/>
    <x v="2"/>
    <s v="Jerseys"/>
    <x v="94"/>
    <n v="20700"/>
    <n v="414"/>
    <n v="409"/>
    <n v="12"/>
    <x v="2"/>
    <n v="148"/>
    <n v="50.12"/>
    <n v="1725"/>
  </r>
  <r>
    <n v="104"/>
    <x v="113"/>
    <x v="1"/>
    <s v="Bottles and Cages"/>
    <x v="95"/>
    <n v="20340"/>
    <n v="2034"/>
    <n v="2004"/>
    <n v="13"/>
    <x v="2"/>
    <n v="148"/>
    <n v="10.039999999999999"/>
    <n v="1564.62"/>
  </r>
  <r>
    <n v="275"/>
    <x v="114"/>
    <x v="2"/>
    <s v="Jerseys"/>
    <x v="96"/>
    <n v="20196"/>
    <n v="374"/>
    <n v="372"/>
    <n v="12"/>
    <x v="2"/>
    <n v="148"/>
    <n v="54"/>
    <n v="1683"/>
  </r>
  <r>
    <n v="166"/>
    <x v="115"/>
    <x v="2"/>
    <s v="Caps"/>
    <x v="97"/>
    <n v="19710"/>
    <n v="2190"/>
    <n v="2132"/>
    <n v="12"/>
    <x v="2"/>
    <n v="148"/>
    <n v="9"/>
    <n v="1642.5"/>
  </r>
  <r>
    <n v="289"/>
    <x v="116"/>
    <x v="1"/>
    <s v="Tires and Tubes"/>
    <x v="98"/>
    <n v="15480"/>
    <n v="3096"/>
    <n v="2960"/>
    <n v="13"/>
    <x v="2"/>
    <n v="148"/>
    <n v="5"/>
    <n v="1190.77"/>
  </r>
  <r>
    <n v="105"/>
    <x v="117"/>
    <x v="1"/>
    <s v="Bottles and Cages"/>
    <x v="99"/>
    <n v="15408"/>
    <n v="1712"/>
    <n v="1700"/>
    <n v="12"/>
    <x v="2"/>
    <n v="148"/>
    <n v="9"/>
    <n v="1284"/>
  </r>
  <r>
    <n v="293"/>
    <x v="118"/>
    <x v="2"/>
    <s v="Vests"/>
    <x v="100"/>
    <n v="12736"/>
    <n v="199"/>
    <n v="199"/>
    <n v="12"/>
    <x v="2"/>
    <n v="148"/>
    <n v="64"/>
    <n v="1061.33"/>
  </r>
  <r>
    <n v="292"/>
    <x v="119"/>
    <x v="2"/>
    <s v="Vests"/>
    <x v="101"/>
    <n v="12480"/>
    <n v="195"/>
    <n v="195"/>
    <n v="12"/>
    <x v="2"/>
    <n v="148"/>
    <n v="64"/>
    <n v="1040"/>
  </r>
  <r>
    <n v="234"/>
    <x v="120"/>
    <x v="2"/>
    <s v="Gloves"/>
    <x v="102"/>
    <n v="11976"/>
    <n v="499"/>
    <n v="488"/>
    <n v="12"/>
    <x v="2"/>
    <n v="148"/>
    <n v="24"/>
    <n v="998"/>
  </r>
  <r>
    <n v="235"/>
    <x v="121"/>
    <x v="2"/>
    <s v="Gloves"/>
    <x v="103"/>
    <n v="11712"/>
    <n v="488"/>
    <n v="479"/>
    <n v="12"/>
    <x v="2"/>
    <n v="148"/>
    <n v="24"/>
    <n v="976"/>
  </r>
  <r>
    <n v="294"/>
    <x v="122"/>
    <x v="2"/>
    <s v="Vests"/>
    <x v="104"/>
    <n v="10944"/>
    <n v="171"/>
    <n v="168"/>
    <n v="12"/>
    <x v="2"/>
    <n v="148"/>
    <n v="65.14"/>
    <n v="912"/>
  </r>
  <r>
    <n v="233"/>
    <x v="123"/>
    <x v="2"/>
    <s v="Gloves"/>
    <x v="105"/>
    <n v="10632"/>
    <n v="443"/>
    <n v="437"/>
    <n v="12"/>
    <x v="2"/>
    <n v="148"/>
    <n v="24"/>
    <n v="886"/>
  </r>
  <r>
    <n v="290"/>
    <x v="124"/>
    <x v="1"/>
    <s v="Tires and Tubes"/>
    <x v="106"/>
    <n v="9504"/>
    <n v="2376"/>
    <n v="2226"/>
    <n v="13"/>
    <x v="2"/>
    <n v="148"/>
    <n v="4"/>
    <n v="731.08"/>
  </r>
  <r>
    <n v="291"/>
    <x v="125"/>
    <x v="1"/>
    <s v="Tires and Tubes"/>
    <x v="107"/>
    <n v="7440"/>
    <n v="1488"/>
    <n v="1411"/>
    <n v="13"/>
    <x v="2"/>
    <n v="148"/>
    <n v="5"/>
    <n v="572.30999999999995"/>
  </r>
  <r>
    <n v="168"/>
    <x v="126"/>
    <x v="1"/>
    <s v="Cleaners"/>
    <x v="108"/>
    <n v="7272"/>
    <n v="909"/>
    <n v="875"/>
    <n v="12"/>
    <x v="2"/>
    <n v="148"/>
    <n v="8.01"/>
    <n v="606"/>
  </r>
  <r>
    <n v="259"/>
    <x v="127"/>
    <x v="1"/>
    <s v="Tires and Tubes"/>
    <x v="109"/>
    <n v="6382"/>
    <n v="3191"/>
    <n v="2950"/>
    <n v="12"/>
    <x v="2"/>
    <n v="148"/>
    <n v="2"/>
    <n v="531.83000000000004"/>
  </r>
  <r>
    <n v="280"/>
    <x v="128"/>
    <x v="2"/>
    <s v="Socks"/>
    <x v="13"/>
    <n v="2682"/>
    <n v="298"/>
    <n v="295"/>
    <n v="12"/>
    <x v="2"/>
    <n v="148"/>
    <n v="9"/>
    <n v="223.5"/>
  </r>
  <r>
    <n v="279"/>
    <x v="129"/>
    <x v="2"/>
    <s v="Socks"/>
    <x v="15"/>
    <n v="2430"/>
    <n v="270"/>
    <n v="269"/>
    <n v="12"/>
    <x v="2"/>
    <n v="148"/>
    <n v="9"/>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93838-1ED7-4BB7-B1F4-8487033C4D6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rowPageCount="1" colPageCount="1"/>
  <pivotFields count="13">
    <pivotField showAll="0"/>
    <pivotField axis="axisRow" showAll="0" measureFilter="1" sortType="descending">
      <items count="131">
        <item x="79"/>
        <item x="115"/>
        <item x="126"/>
        <item x="119"/>
        <item x="118"/>
        <item x="122"/>
        <item x="70"/>
        <item x="123"/>
        <item x="120"/>
        <item x="121"/>
        <item x="80"/>
        <item x="67"/>
        <item x="89"/>
        <item x="77"/>
        <item x="108"/>
        <item x="107"/>
        <item x="100"/>
        <item x="102"/>
        <item x="109"/>
        <item x="112"/>
        <item x="86"/>
        <item x="99"/>
        <item x="113"/>
        <item x="116"/>
        <item x="44"/>
        <item x="45"/>
        <item x="37"/>
        <item x="41"/>
        <item x="38"/>
        <item x="46"/>
        <item x="43"/>
        <item x="48"/>
        <item x="4"/>
        <item x="1"/>
        <item x="0"/>
        <item x="2"/>
        <item x="5"/>
        <item x="3"/>
        <item x="50"/>
        <item x="54"/>
        <item x="53"/>
        <item x="52"/>
        <item x="94"/>
        <item x="93"/>
        <item x="87"/>
        <item x="88"/>
        <item x="101"/>
        <item x="95"/>
        <item x="96"/>
        <item x="104"/>
        <item x="90"/>
        <item x="91"/>
        <item x="127"/>
        <item x="129"/>
        <item x="128"/>
        <item x="117"/>
        <item x="124"/>
        <item x="10"/>
        <item x="6"/>
        <item x="8"/>
        <item x="9"/>
        <item x="7"/>
        <item x="14"/>
        <item x="13"/>
        <item x="11"/>
        <item x="15"/>
        <item x="27"/>
        <item x="20"/>
        <item x="31"/>
        <item x="12"/>
        <item x="17"/>
        <item x="19"/>
        <item x="24"/>
        <item x="21"/>
        <item x="33"/>
        <item x="34"/>
        <item x="29"/>
        <item x="32"/>
        <item x="35"/>
        <item x="68"/>
        <item x="72"/>
        <item x="59"/>
        <item x="61"/>
        <item x="63"/>
        <item x="66"/>
        <item x="65"/>
        <item x="60"/>
        <item x="71"/>
        <item x="64"/>
        <item x="78"/>
        <item x="62"/>
        <item x="40"/>
        <item x="39"/>
        <item x="36"/>
        <item x="42"/>
        <item x="114"/>
        <item x="105"/>
        <item x="106"/>
        <item x="103"/>
        <item x="58"/>
        <item x="57"/>
        <item x="56"/>
        <item x="92"/>
        <item x="125"/>
        <item x="16"/>
        <item x="26"/>
        <item x="22"/>
        <item x="28"/>
        <item x="18"/>
        <item x="25"/>
        <item x="23"/>
        <item x="30"/>
        <item x="49"/>
        <item x="47"/>
        <item x="51"/>
        <item x="55"/>
        <item x="81"/>
        <item x="83"/>
        <item x="76"/>
        <item x="75"/>
        <item x="69"/>
        <item x="73"/>
        <item x="74"/>
        <item x="84"/>
        <item x="85"/>
        <item x="82"/>
        <item x="111"/>
        <item x="97"/>
        <item x="98"/>
        <item x="110"/>
        <item t="default"/>
      </items>
      <autoSortScope>
        <pivotArea dataOnly="0" outline="0" fieldPosition="0">
          <references count="1">
            <reference field="4294967294" count="1" selected="0">
              <x v="0"/>
            </reference>
          </references>
        </pivotArea>
      </autoSortScope>
    </pivotField>
    <pivotField axis="axisPage" showAll="0">
      <items count="4">
        <item x="1"/>
        <item x="0"/>
        <item x="2"/>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
  </rowFields>
  <rowItems count="11">
    <i>
      <x v="101"/>
    </i>
    <i>
      <x v="100"/>
    </i>
    <i>
      <x v="99"/>
    </i>
    <i>
      <x v="11"/>
    </i>
    <i>
      <x v="6"/>
    </i>
    <i>
      <x v="13"/>
    </i>
    <i>
      <x/>
    </i>
    <i>
      <x v="10"/>
    </i>
    <i>
      <x v="20"/>
    </i>
    <i>
      <x v="12"/>
    </i>
    <i t="grand">
      <x/>
    </i>
  </rowItems>
  <colItems count="1">
    <i/>
  </colItems>
  <pageFields count="1">
    <pageField fld="2" item="0" hier="-1"/>
  </pageFields>
  <dataFields count="1">
    <dataField name="Sum of total_revenue" fld="5" baseField="0" baseItem="0"/>
  </dataFields>
  <chartFormats count="11">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1" count="1" selected="0">
            <x v="33"/>
          </reference>
        </references>
      </pivotArea>
    </chartFormat>
    <chartFormat chart="3" format="5" series="1">
      <pivotArea type="data" outline="0" fieldPosition="0">
        <references count="2">
          <reference field="4294967294" count="1" selected="0">
            <x v="0"/>
          </reference>
          <reference field="1" count="1" selected="0">
            <x v="35"/>
          </reference>
        </references>
      </pivotArea>
    </chartFormat>
    <chartFormat chart="3" format="6" series="1">
      <pivotArea type="data" outline="0" fieldPosition="0">
        <references count="2">
          <reference field="4294967294" count="1" selected="0">
            <x v="0"/>
          </reference>
          <reference field="1" count="1" selected="0">
            <x v="37"/>
          </reference>
        </references>
      </pivotArea>
    </chartFormat>
    <chartFormat chart="3" format="7" series="1">
      <pivotArea type="data" outline="0" fieldPosition="0">
        <references count="2">
          <reference field="4294967294" count="1" selected="0">
            <x v="0"/>
          </reference>
          <reference field="1" count="1" selected="0">
            <x v="32"/>
          </reference>
        </references>
      </pivotArea>
    </chartFormat>
    <chartFormat chart="3" format="8" series="1">
      <pivotArea type="data" outline="0" fieldPosition="0">
        <references count="2">
          <reference field="4294967294" count="1" selected="0">
            <x v="0"/>
          </reference>
          <reference field="1" count="1" selected="0">
            <x v="36"/>
          </reference>
        </references>
      </pivotArea>
    </chartFormat>
    <chartFormat chart="3" format="9" series="1">
      <pivotArea type="data" outline="0" fieldPosition="0">
        <references count="2">
          <reference field="4294967294" count="1" selected="0">
            <x v="0"/>
          </reference>
          <reference field="1" count="1" selected="0">
            <x v="58"/>
          </reference>
        </references>
      </pivotArea>
    </chartFormat>
    <chartFormat chart="3" format="10" series="1">
      <pivotArea type="data" outline="0" fieldPosition="0">
        <references count="2">
          <reference field="4294967294" count="1" selected="0">
            <x v="0"/>
          </reference>
          <reference field="1" count="1" selected="0">
            <x v="61"/>
          </reference>
        </references>
      </pivotArea>
    </chartFormat>
    <chartFormat chart="3" format="11" series="1">
      <pivotArea type="data" outline="0" fieldPosition="0">
        <references count="2">
          <reference field="4294967294" count="1" selected="0">
            <x v="0"/>
          </reference>
          <reference field="1" count="1" selected="0">
            <x v="59"/>
          </reference>
        </references>
      </pivotArea>
    </chartFormat>
    <chartFormat chart="3" format="12" series="1">
      <pivotArea type="data" outline="0" fieldPosition="0">
        <references count="2">
          <reference field="4294967294" count="1" selected="0">
            <x v="0"/>
          </reference>
          <reference field="1" count="1" selected="0">
            <x v="60"/>
          </reference>
        </references>
      </pivotArea>
    </chartFormat>
    <chartFormat chart="3" format="13">
      <pivotArea type="data" outline="0" fieldPosition="0">
        <references count="2">
          <reference field="4294967294" count="1" selected="0">
            <x v="0"/>
          </reference>
          <reference field="1" count="1" selected="0">
            <x v="12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110E4C-D85F-4EC2-90E3-54A44D7D29D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3">
    <pivotField showAll="0"/>
    <pivotField showAll="0"/>
    <pivotField showAll="0"/>
    <pivotField showAll="0"/>
    <pivotField showAll="0"/>
    <pivotField dataField="1"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4">
    <i>
      <x/>
    </i>
    <i>
      <x v="2"/>
    </i>
    <i>
      <x v="1"/>
    </i>
    <i t="grand">
      <x/>
    </i>
  </rowItems>
  <colItems count="1">
    <i/>
  </colItems>
  <dataFields count="1">
    <dataField name="Sum of total_revenue" fld="5"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9" count="1" selected="0">
            <x v="0"/>
          </reference>
        </references>
      </pivotArea>
    </chartFormat>
    <chartFormat chart="7" format="7">
      <pivotArea type="data" outline="0" fieldPosition="0">
        <references count="2">
          <reference field="4294967294" count="1" selected="0">
            <x v="0"/>
          </reference>
          <reference field="9" count="1" selected="0">
            <x v="2"/>
          </reference>
        </references>
      </pivotArea>
    </chartFormat>
    <chartFormat chart="7"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7516144-2162-4782-998F-5180DC5E4047}" autoFormatId="16" applyNumberFormats="0" applyBorderFormats="0" applyFontFormats="0" applyPatternFormats="0" applyAlignmentFormats="0" applyWidthHeightFormats="0">
  <queryTableRefresh nextId="14">
    <queryTableFields count="13">
      <queryTableField id="1" name="product_key" tableColumnId="1"/>
      <queryTableField id="2" name="product_name" tableColumnId="2"/>
      <queryTableField id="3" name="category" tableColumnId="3"/>
      <queryTableField id="4" name="subcategory" tableColumnId="4"/>
      <queryTableField id="5" name="total_orders" tableColumnId="5"/>
      <queryTableField id="6" name="total_revenue" tableColumnId="6"/>
      <queryTableField id="7" name="total_quantity" tableColumnId="7"/>
      <queryTableField id="8" name="total_customers" tableColumnId="8"/>
      <queryTableField id="9" name="lifespan" tableColumnId="9"/>
      <queryTableField id="10" name="product_segment" tableColumnId="10"/>
      <queryTableField id="11" name="recency" tableColumnId="11"/>
      <queryTableField id="12" name="avg_order_revenue" tableColumnId="12"/>
      <queryTableField id="13" name="avg_monthly_revenu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12408EA-9716-4850-ADD6-1D13FFD89710}" autoFormatId="16" applyNumberFormats="0" applyBorderFormats="0" applyFontFormats="0" applyPatternFormats="0" applyAlignmentFormats="0" applyWidthHeightFormats="0">
  <queryTableRefresh nextId="5">
    <queryTableFields count="4">
      <queryTableField id="1" name="month_year" tableColumnId="1"/>
      <queryTableField id="2" name="total_sales" tableColumnId="2"/>
      <queryTableField id="3" name="total_quantity" tableColumnId="3"/>
      <queryTableField id="4" name="total_customer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56FDFC24-9E16-4A6A-BC65-63091A5D395A}" autoFormatId="16" applyNumberFormats="0" applyBorderFormats="0" applyFontFormats="0" applyPatternFormats="0" applyAlignmentFormats="0" applyWidthHeightFormats="0">
  <queryTableRefresh nextId="3">
    <queryTableFields count="2">
      <queryTableField id="1" name="customer_segment" tableColumnId="1"/>
      <queryTableField id="2" name="total_customer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434B36-64C8-4673-9777-A456840E2E41}" sourceName="category">
  <pivotTables>
    <pivotTable tabId="9" name="PivotTable5"/>
  </pivotTables>
  <data>
    <tabular pivotCacheId="816085626">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category" xr10:uid="{788051A1-69B9-4AD9-B028-9CBE6D9E81DA}" cache="Slicer_category" caption="Filter by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D5B449-1EF5-4B89-B5C2-1E12508F01FD}" name="product_report" displayName="product_report" ref="A1:M131" tableType="queryTable" totalsRowShown="0">
  <autoFilter ref="A1:M131" xr:uid="{FED5B449-1EF5-4B89-B5C2-1E12508F01FD}"/>
  <sortState xmlns:xlrd2="http://schemas.microsoft.com/office/spreadsheetml/2017/richdata2" ref="A2:M131">
    <sortCondition descending="1" ref="E1:E131"/>
  </sortState>
  <tableColumns count="13">
    <tableColumn id="1" xr3:uid="{5AFA7683-E04D-4DEB-B9CE-B000EF50E338}" uniqueName="1" name="product_key" queryTableFieldId="1"/>
    <tableColumn id="2" xr3:uid="{175A7082-6A45-4DF2-874F-128F65C3E1FE}" uniqueName="2" name="product_name" queryTableFieldId="2" dataDxfId="8"/>
    <tableColumn id="3" xr3:uid="{4F58D985-7ACE-4D4F-8DDE-9F2FE47960E7}" uniqueName="3" name="category" queryTableFieldId="3" dataDxfId="7"/>
    <tableColumn id="4" xr3:uid="{24C0E3AB-F127-4736-AA14-55EEF45BA72A}" uniqueName="4" name="subcategory" queryTableFieldId="4" dataDxfId="6"/>
    <tableColumn id="5" xr3:uid="{383CDAA2-33DC-4C03-B506-924C1DA43D53}" uniqueName="5" name="total_orders" queryTableFieldId="5"/>
    <tableColumn id="6" xr3:uid="{6EFEDBAB-F54D-44DF-AFB0-A268CCEB3515}" uniqueName="6" name="total_revenue" queryTableFieldId="6"/>
    <tableColumn id="7" xr3:uid="{CCB3E329-6B85-4F19-B6C5-E6A84160640E}" uniqueName="7" name="total_quantity" queryTableFieldId="7"/>
    <tableColumn id="8" xr3:uid="{A140AB2D-B8E7-448A-9E52-F26F02AF6A89}" uniqueName="8" name="total_customers" queryTableFieldId="8"/>
    <tableColumn id="9" xr3:uid="{FAADE044-FB7D-4FEA-95C3-8FEB1A61FFFC}" uniqueName="9" name="lifespan" queryTableFieldId="9"/>
    <tableColumn id="10" xr3:uid="{B1E86638-7A70-4435-B739-27224EF1B4F1}" uniqueName="10" name="product_segment" queryTableFieldId="10" dataDxfId="5"/>
    <tableColumn id="11" xr3:uid="{56B17B3F-61D7-4E8F-9FB5-DB84A374ECBE}" uniqueName="11" name="recency" queryTableFieldId="11"/>
    <tableColumn id="12" xr3:uid="{B4A843F5-FAA5-4598-ADAC-3B950EB1DCBC}" uniqueName="12" name="avg_order_revenue" queryTableFieldId="12"/>
    <tableColumn id="13" xr3:uid="{AE3DDA92-CE36-43BD-89B5-FC8EF1F68684}" uniqueName="13" name="avg_monthly_revenue" queryTableField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F2940B-3C2C-4755-A3B1-08F224DB67EC}" name="monthly_sales_trend" displayName="monthly_sales_trend" ref="A1:D39" tableType="queryTable" totalsRowShown="0">
  <autoFilter ref="A1:D39" xr:uid="{5BF2940B-3C2C-4755-A3B1-08F224DB67EC}"/>
  <tableColumns count="4">
    <tableColumn id="1" xr3:uid="{74B75909-2B87-49F6-995C-7001EBFD5FFB}" uniqueName="1" name="month_year" queryTableFieldId="1" dataDxfId="4"/>
    <tableColumn id="2" xr3:uid="{8B2858D1-9CB5-451B-94CF-0BBB870AE774}" uniqueName="2" name="total_sales" queryTableFieldId="2"/>
    <tableColumn id="3" xr3:uid="{78F10BEE-FF78-432B-BC3C-A69B6ADDA11C}" uniqueName="3" name="total_quantity" queryTableFieldId="3"/>
    <tableColumn id="4" xr3:uid="{12F2A7FA-E215-4BF2-8A3C-3A2A73A7CAF0}" uniqueName="4" name="total_customers" queryTableField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8A507-3BC9-461A-9FF2-A63A8CBCBAA1}" name="customer_segmentation" displayName="customer_segmentation" ref="A1:B4" tableType="queryTable" totalsRowShown="0">
  <autoFilter ref="A1:B4" xr:uid="{2588A507-3BC9-461A-9FF2-A63A8CBCBAA1}"/>
  <tableColumns count="2">
    <tableColumn id="1" xr3:uid="{B52EAECF-E422-47C0-A900-AC36890EC2F0}" uniqueName="1" name="customer_segment" queryTableFieldId="1" dataDxfId="3"/>
    <tableColumn id="2" xr3:uid="{C3CF94F5-371A-4679-98B5-4265DC67784E}" uniqueName="2" name="total_customers" queryTableField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23B6-AE56-411D-A7AD-FB3DED0265EC}">
  <dimension ref="A1:B14"/>
  <sheetViews>
    <sheetView topLeftCell="A9" workbookViewId="0">
      <selection activeCell="A10" sqref="A10:C13"/>
    </sheetView>
  </sheetViews>
  <sheetFormatPr defaultRowHeight="14.5" x14ac:dyDescent="0.35"/>
  <cols>
    <col min="1" max="1" width="20.90625" bestFit="1" customWidth="1"/>
    <col min="2" max="2" width="19.08984375" bestFit="1" customWidth="1"/>
    <col min="3" max="3" width="20.81640625" bestFit="1" customWidth="1"/>
    <col min="4" max="5" width="20.90625" bestFit="1" customWidth="1"/>
    <col min="6" max="6" width="20.81640625" bestFit="1" customWidth="1"/>
    <col min="7" max="7" width="20.90625" bestFit="1" customWidth="1"/>
    <col min="8" max="11" width="15.54296875" bestFit="1" customWidth="1"/>
    <col min="12" max="12" width="10.7265625" bestFit="1" customWidth="1"/>
  </cols>
  <sheetData>
    <row r="1" spans="1:2" x14ac:dyDescent="0.35">
      <c r="A1" s="5" t="s">
        <v>0</v>
      </c>
      <c r="B1" t="s">
        <v>5</v>
      </c>
    </row>
    <row r="3" spans="1:2" x14ac:dyDescent="0.35">
      <c r="A3" s="5" t="s">
        <v>183</v>
      </c>
      <c r="B3" t="s">
        <v>185</v>
      </c>
    </row>
    <row r="4" spans="1:2" x14ac:dyDescent="0.35">
      <c r="A4" s="6" t="s">
        <v>86</v>
      </c>
      <c r="B4">
        <v>78050</v>
      </c>
    </row>
    <row r="5" spans="1:2" x14ac:dyDescent="0.35">
      <c r="A5" s="6" t="s">
        <v>88</v>
      </c>
      <c r="B5">
        <v>74410</v>
      </c>
    </row>
    <row r="6" spans="1:2" x14ac:dyDescent="0.35">
      <c r="A6" s="6" t="s">
        <v>89</v>
      </c>
      <c r="B6">
        <v>72975</v>
      </c>
    </row>
    <row r="7" spans="1:2" x14ac:dyDescent="0.35">
      <c r="A7" s="6" t="s">
        <v>98</v>
      </c>
      <c r="B7">
        <v>48895</v>
      </c>
    </row>
    <row r="8" spans="1:2" x14ac:dyDescent="0.35">
      <c r="A8" s="6" t="s">
        <v>102</v>
      </c>
      <c r="B8">
        <v>46662</v>
      </c>
    </row>
    <row r="9" spans="1:2" x14ac:dyDescent="0.35">
      <c r="A9" s="6" t="s">
        <v>110</v>
      </c>
      <c r="B9">
        <v>40315</v>
      </c>
    </row>
    <row r="10" spans="1:2" x14ac:dyDescent="0.35">
      <c r="A10" s="6" t="s">
        <v>113</v>
      </c>
      <c r="B10">
        <v>39591</v>
      </c>
    </row>
    <row r="11" spans="1:2" x14ac:dyDescent="0.35">
      <c r="A11" s="6" t="s">
        <v>115</v>
      </c>
      <c r="B11">
        <v>39360</v>
      </c>
    </row>
    <row r="12" spans="1:2" x14ac:dyDescent="0.35">
      <c r="A12" s="6" t="s">
        <v>122</v>
      </c>
      <c r="B12">
        <v>34830</v>
      </c>
    </row>
    <row r="13" spans="1:2" x14ac:dyDescent="0.35">
      <c r="A13" s="6" t="s">
        <v>125</v>
      </c>
      <c r="B13">
        <v>28314</v>
      </c>
    </row>
    <row r="14" spans="1:2" x14ac:dyDescent="0.35">
      <c r="A14" s="6" t="s">
        <v>184</v>
      </c>
      <c r="B14">
        <v>503402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8783F-A732-4FAF-9CC8-14A1B9D47092}">
  <dimension ref="A3:B7"/>
  <sheetViews>
    <sheetView workbookViewId="0">
      <selection activeCell="C26" sqref="C26"/>
    </sheetView>
  </sheetViews>
  <sheetFormatPr defaultRowHeight="14.5" x14ac:dyDescent="0.35"/>
  <cols>
    <col min="1" max="1" width="13.6328125" bestFit="1" customWidth="1"/>
    <col min="2" max="2" width="19.08984375" bestFit="1" customWidth="1"/>
  </cols>
  <sheetData>
    <row r="3" spans="1:2" x14ac:dyDescent="0.35">
      <c r="A3" s="5" t="s">
        <v>183</v>
      </c>
      <c r="B3" t="s">
        <v>185</v>
      </c>
    </row>
    <row r="4" spans="1:2" x14ac:dyDescent="0.35">
      <c r="A4" s="6" t="s">
        <v>26</v>
      </c>
      <c r="B4">
        <v>13478705</v>
      </c>
    </row>
    <row r="5" spans="1:2" x14ac:dyDescent="0.35">
      <c r="A5" s="6" t="s">
        <v>39</v>
      </c>
      <c r="B5">
        <v>10948240</v>
      </c>
    </row>
    <row r="6" spans="1:2" x14ac:dyDescent="0.35">
      <c r="A6" s="6" t="s">
        <v>68</v>
      </c>
      <c r="B6">
        <v>4929305</v>
      </c>
    </row>
    <row r="7" spans="1:2" x14ac:dyDescent="0.35">
      <c r="A7" s="6" t="s">
        <v>184</v>
      </c>
      <c r="B7">
        <v>29356250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A7B6-0722-40DA-A926-163A7A47F494}">
  <dimension ref="A1:M131"/>
  <sheetViews>
    <sheetView topLeftCell="B1" workbookViewId="0">
      <selection activeCell="F2" sqref="F2:F131"/>
    </sheetView>
  </sheetViews>
  <sheetFormatPr defaultRowHeight="14.5" x14ac:dyDescent="0.35"/>
  <cols>
    <col min="1" max="1" width="13.6328125" bestFit="1" customWidth="1"/>
    <col min="2" max="2" width="26.26953125" bestFit="1" customWidth="1"/>
    <col min="3" max="3" width="10.36328125" bestFit="1" customWidth="1"/>
    <col min="4" max="4" width="15.54296875" bestFit="1" customWidth="1"/>
    <col min="5" max="5" width="13.54296875" bestFit="1" customWidth="1"/>
    <col min="6" max="6" width="14.90625" bestFit="1" customWidth="1"/>
    <col min="7" max="7" width="15.26953125" bestFit="1" customWidth="1"/>
    <col min="8" max="8" width="16.90625" bestFit="1" customWidth="1"/>
    <col min="9" max="9" width="9.6328125" bestFit="1" customWidth="1"/>
    <col min="10" max="10" width="18" bestFit="1" customWidth="1"/>
    <col min="11" max="11" width="9.453125" bestFit="1" customWidth="1"/>
    <col min="12" max="12" width="19.54296875" bestFit="1" customWidth="1"/>
    <col min="13" max="13" width="21.90625" bestFit="1" customWidth="1"/>
  </cols>
  <sheetData>
    <row r="1" spans="1:13" x14ac:dyDescent="0.35">
      <c r="A1" t="s">
        <v>14</v>
      </c>
      <c r="B1" t="s">
        <v>15</v>
      </c>
      <c r="C1" t="s">
        <v>0</v>
      </c>
      <c r="D1" t="s">
        <v>16</v>
      </c>
      <c r="E1" t="s">
        <v>17</v>
      </c>
      <c r="F1" t="s">
        <v>18</v>
      </c>
      <c r="G1" t="s">
        <v>13</v>
      </c>
      <c r="H1" t="s">
        <v>8</v>
      </c>
      <c r="I1" t="s">
        <v>19</v>
      </c>
      <c r="J1" t="s">
        <v>20</v>
      </c>
      <c r="K1" t="s">
        <v>21</v>
      </c>
      <c r="L1" t="s">
        <v>22</v>
      </c>
      <c r="M1" t="s">
        <v>23</v>
      </c>
    </row>
    <row r="2" spans="1:13" x14ac:dyDescent="0.35">
      <c r="A2">
        <v>295</v>
      </c>
      <c r="B2" t="s">
        <v>149</v>
      </c>
      <c r="C2" t="s">
        <v>5</v>
      </c>
      <c r="D2" t="s">
        <v>150</v>
      </c>
      <c r="E2">
        <v>4244</v>
      </c>
      <c r="F2">
        <v>21245</v>
      </c>
      <c r="G2">
        <v>4249</v>
      </c>
      <c r="H2">
        <v>4073</v>
      </c>
      <c r="I2">
        <v>13</v>
      </c>
      <c r="J2" t="s">
        <v>68</v>
      </c>
      <c r="K2">
        <v>148</v>
      </c>
      <c r="L2">
        <v>5.01</v>
      </c>
      <c r="M2">
        <v>1634.23</v>
      </c>
    </row>
    <row r="3" spans="1:13" x14ac:dyDescent="0.35">
      <c r="A3">
        <v>259</v>
      </c>
      <c r="B3" t="s">
        <v>170</v>
      </c>
      <c r="C3" t="s">
        <v>5</v>
      </c>
      <c r="D3" t="s">
        <v>99</v>
      </c>
      <c r="E3">
        <v>3191</v>
      </c>
      <c r="F3">
        <v>6382</v>
      </c>
      <c r="G3">
        <v>3191</v>
      </c>
      <c r="H3">
        <v>2950</v>
      </c>
      <c r="I3">
        <v>12</v>
      </c>
      <c r="J3" t="s">
        <v>68</v>
      </c>
      <c r="K3">
        <v>148</v>
      </c>
      <c r="L3">
        <v>2</v>
      </c>
      <c r="M3">
        <v>531.83000000000004</v>
      </c>
    </row>
    <row r="4" spans="1:13" x14ac:dyDescent="0.35">
      <c r="A4">
        <v>289</v>
      </c>
      <c r="B4" t="s">
        <v>156</v>
      </c>
      <c r="C4" t="s">
        <v>5</v>
      </c>
      <c r="D4" t="s">
        <v>99</v>
      </c>
      <c r="E4">
        <v>3095</v>
      </c>
      <c r="F4">
        <v>15480</v>
      </c>
      <c r="G4">
        <v>3096</v>
      </c>
      <c r="H4">
        <v>2960</v>
      </c>
      <c r="I4">
        <v>13</v>
      </c>
      <c r="J4" t="s">
        <v>68</v>
      </c>
      <c r="K4">
        <v>148</v>
      </c>
      <c r="L4">
        <v>5</v>
      </c>
      <c r="M4">
        <v>1190.77</v>
      </c>
    </row>
    <row r="5" spans="1:13" x14ac:dyDescent="0.35">
      <c r="A5">
        <v>290</v>
      </c>
      <c r="B5" t="s">
        <v>166</v>
      </c>
      <c r="C5" t="s">
        <v>5</v>
      </c>
      <c r="D5" t="s">
        <v>99</v>
      </c>
      <c r="E5">
        <v>2376</v>
      </c>
      <c r="F5">
        <v>9504</v>
      </c>
      <c r="G5">
        <v>2376</v>
      </c>
      <c r="H5">
        <v>2226</v>
      </c>
      <c r="I5">
        <v>13</v>
      </c>
      <c r="J5" t="s">
        <v>68</v>
      </c>
      <c r="K5">
        <v>148</v>
      </c>
      <c r="L5">
        <v>4</v>
      </c>
      <c r="M5">
        <v>731.08</v>
      </c>
    </row>
    <row r="6" spans="1:13" x14ac:dyDescent="0.35">
      <c r="A6">
        <v>246</v>
      </c>
      <c r="B6" t="s">
        <v>86</v>
      </c>
      <c r="C6" t="s">
        <v>5</v>
      </c>
      <c r="D6" t="s">
        <v>87</v>
      </c>
      <c r="E6">
        <v>2230</v>
      </c>
      <c r="F6">
        <v>78050</v>
      </c>
      <c r="G6">
        <v>2230</v>
      </c>
      <c r="H6">
        <v>2147</v>
      </c>
      <c r="I6">
        <v>13</v>
      </c>
      <c r="J6" t="s">
        <v>68</v>
      </c>
      <c r="K6">
        <v>148</v>
      </c>
      <c r="L6">
        <v>35</v>
      </c>
      <c r="M6">
        <v>6003.85</v>
      </c>
    </row>
    <row r="7" spans="1:13" x14ac:dyDescent="0.35">
      <c r="A7">
        <v>166</v>
      </c>
      <c r="B7" t="s">
        <v>154</v>
      </c>
      <c r="C7" t="s">
        <v>6</v>
      </c>
      <c r="D7" t="s">
        <v>155</v>
      </c>
      <c r="E7">
        <v>2190</v>
      </c>
      <c r="F7">
        <v>19710</v>
      </c>
      <c r="G7">
        <v>2190</v>
      </c>
      <c r="H7">
        <v>2132</v>
      </c>
      <c r="I7">
        <v>12</v>
      </c>
      <c r="J7" t="s">
        <v>68</v>
      </c>
      <c r="K7">
        <v>148</v>
      </c>
      <c r="L7">
        <v>9</v>
      </c>
      <c r="M7">
        <v>1642.5</v>
      </c>
    </row>
    <row r="8" spans="1:13" x14ac:dyDescent="0.35">
      <c r="A8">
        <v>245</v>
      </c>
      <c r="B8" t="s">
        <v>88</v>
      </c>
      <c r="C8" t="s">
        <v>5</v>
      </c>
      <c r="D8" t="s">
        <v>87</v>
      </c>
      <c r="E8">
        <v>2125</v>
      </c>
      <c r="F8">
        <v>74410</v>
      </c>
      <c r="G8">
        <v>2126</v>
      </c>
      <c r="H8">
        <v>2050</v>
      </c>
      <c r="I8">
        <v>13</v>
      </c>
      <c r="J8" t="s">
        <v>68</v>
      </c>
      <c r="K8">
        <v>148</v>
      </c>
      <c r="L8">
        <v>35.020000000000003</v>
      </c>
      <c r="M8">
        <v>5723.85</v>
      </c>
    </row>
    <row r="9" spans="1:13" x14ac:dyDescent="0.35">
      <c r="A9">
        <v>174</v>
      </c>
      <c r="B9" t="s">
        <v>102</v>
      </c>
      <c r="C9" t="s">
        <v>5</v>
      </c>
      <c r="D9" t="s">
        <v>103</v>
      </c>
      <c r="E9">
        <v>2121</v>
      </c>
      <c r="F9">
        <v>46662</v>
      </c>
      <c r="G9">
        <v>2121</v>
      </c>
      <c r="H9">
        <v>2110</v>
      </c>
      <c r="I9">
        <v>12</v>
      </c>
      <c r="J9" t="s">
        <v>68</v>
      </c>
      <c r="K9">
        <v>148</v>
      </c>
      <c r="L9">
        <v>22</v>
      </c>
      <c r="M9">
        <v>3888.5</v>
      </c>
    </row>
    <row r="10" spans="1:13" x14ac:dyDescent="0.35">
      <c r="A10">
        <v>244</v>
      </c>
      <c r="B10" t="s">
        <v>89</v>
      </c>
      <c r="C10" t="s">
        <v>5</v>
      </c>
      <c r="D10" t="s">
        <v>87</v>
      </c>
      <c r="E10">
        <v>2085</v>
      </c>
      <c r="F10">
        <v>72975</v>
      </c>
      <c r="G10">
        <v>2085</v>
      </c>
      <c r="H10">
        <v>2024</v>
      </c>
      <c r="I10">
        <v>13</v>
      </c>
      <c r="J10" t="s">
        <v>68</v>
      </c>
      <c r="K10">
        <v>148</v>
      </c>
      <c r="L10">
        <v>35</v>
      </c>
      <c r="M10">
        <v>5613.46</v>
      </c>
    </row>
    <row r="11" spans="1:13" x14ac:dyDescent="0.35">
      <c r="A11">
        <v>104</v>
      </c>
      <c r="B11" t="s">
        <v>152</v>
      </c>
      <c r="C11" t="s">
        <v>5</v>
      </c>
      <c r="D11" t="s">
        <v>150</v>
      </c>
      <c r="E11">
        <v>2025</v>
      </c>
      <c r="F11">
        <v>20340</v>
      </c>
      <c r="G11">
        <v>2034</v>
      </c>
      <c r="H11">
        <v>2004</v>
      </c>
      <c r="I11">
        <v>13</v>
      </c>
      <c r="J11" t="s">
        <v>68</v>
      </c>
      <c r="K11">
        <v>148</v>
      </c>
      <c r="L11">
        <v>10.039999999999999</v>
      </c>
      <c r="M11">
        <v>1564.62</v>
      </c>
    </row>
    <row r="12" spans="1:13" x14ac:dyDescent="0.35">
      <c r="A12">
        <v>105</v>
      </c>
      <c r="B12" t="s">
        <v>157</v>
      </c>
      <c r="C12" t="s">
        <v>5</v>
      </c>
      <c r="D12" t="s">
        <v>150</v>
      </c>
      <c r="E12">
        <v>1712</v>
      </c>
      <c r="F12">
        <v>15408</v>
      </c>
      <c r="G12">
        <v>1712</v>
      </c>
      <c r="H12">
        <v>1700</v>
      </c>
      <c r="I12">
        <v>12</v>
      </c>
      <c r="J12" t="s">
        <v>68</v>
      </c>
      <c r="K12">
        <v>148</v>
      </c>
      <c r="L12">
        <v>9</v>
      </c>
      <c r="M12">
        <v>1284</v>
      </c>
    </row>
    <row r="13" spans="1:13" x14ac:dyDescent="0.35">
      <c r="A13">
        <v>291</v>
      </c>
      <c r="B13" t="s">
        <v>167</v>
      </c>
      <c r="C13" t="s">
        <v>5</v>
      </c>
      <c r="D13" t="s">
        <v>99</v>
      </c>
      <c r="E13">
        <v>1488</v>
      </c>
      <c r="F13">
        <v>7440</v>
      </c>
      <c r="G13">
        <v>1488</v>
      </c>
      <c r="H13">
        <v>1411</v>
      </c>
      <c r="I13">
        <v>13</v>
      </c>
      <c r="J13" t="s">
        <v>68</v>
      </c>
      <c r="K13">
        <v>148</v>
      </c>
      <c r="L13">
        <v>5</v>
      </c>
      <c r="M13">
        <v>572.30999999999995</v>
      </c>
    </row>
    <row r="14" spans="1:13" x14ac:dyDescent="0.35">
      <c r="A14">
        <v>284</v>
      </c>
      <c r="B14" t="s">
        <v>98</v>
      </c>
      <c r="C14" t="s">
        <v>5</v>
      </c>
      <c r="D14" t="s">
        <v>99</v>
      </c>
      <c r="E14">
        <v>1396</v>
      </c>
      <c r="F14">
        <v>48895</v>
      </c>
      <c r="G14">
        <v>1397</v>
      </c>
      <c r="H14">
        <v>1396</v>
      </c>
      <c r="I14">
        <v>13</v>
      </c>
      <c r="J14" t="s">
        <v>68</v>
      </c>
      <c r="K14">
        <v>148</v>
      </c>
      <c r="L14">
        <v>35.03</v>
      </c>
      <c r="M14">
        <v>3761.15</v>
      </c>
    </row>
    <row r="15" spans="1:13" x14ac:dyDescent="0.35">
      <c r="A15">
        <v>283</v>
      </c>
      <c r="B15" t="s">
        <v>122</v>
      </c>
      <c r="C15" t="s">
        <v>5</v>
      </c>
      <c r="D15" t="s">
        <v>99</v>
      </c>
      <c r="E15">
        <v>1161</v>
      </c>
      <c r="F15">
        <v>34830</v>
      </c>
      <c r="G15">
        <v>1161</v>
      </c>
      <c r="H15">
        <v>1161</v>
      </c>
      <c r="I15">
        <v>12</v>
      </c>
      <c r="J15" t="s">
        <v>68</v>
      </c>
      <c r="K15">
        <v>148</v>
      </c>
      <c r="L15">
        <v>30</v>
      </c>
      <c r="M15">
        <v>2902.5</v>
      </c>
    </row>
    <row r="16" spans="1:13" x14ac:dyDescent="0.35">
      <c r="A16">
        <v>285</v>
      </c>
      <c r="B16" t="s">
        <v>145</v>
      </c>
      <c r="C16" t="s">
        <v>5</v>
      </c>
      <c r="D16" t="s">
        <v>99</v>
      </c>
      <c r="E16">
        <v>1044</v>
      </c>
      <c r="F16">
        <v>21924</v>
      </c>
      <c r="G16">
        <v>1044</v>
      </c>
      <c r="H16">
        <v>1030</v>
      </c>
      <c r="I16">
        <v>13</v>
      </c>
      <c r="J16" t="s">
        <v>68</v>
      </c>
      <c r="K16">
        <v>148</v>
      </c>
      <c r="L16">
        <v>21</v>
      </c>
      <c r="M16">
        <v>1686.46</v>
      </c>
    </row>
    <row r="17" spans="1:13" x14ac:dyDescent="0.35">
      <c r="A17">
        <v>288</v>
      </c>
      <c r="B17" t="s">
        <v>128</v>
      </c>
      <c r="C17" t="s">
        <v>5</v>
      </c>
      <c r="D17" t="s">
        <v>99</v>
      </c>
      <c r="E17">
        <v>935</v>
      </c>
      <c r="F17">
        <v>27115</v>
      </c>
      <c r="G17">
        <v>935</v>
      </c>
      <c r="H17">
        <v>920</v>
      </c>
      <c r="I17">
        <v>12</v>
      </c>
      <c r="J17" t="s">
        <v>68</v>
      </c>
      <c r="K17">
        <v>148</v>
      </c>
      <c r="L17">
        <v>29</v>
      </c>
      <c r="M17">
        <v>2259.58</v>
      </c>
    </row>
    <row r="18" spans="1:13" x14ac:dyDescent="0.35">
      <c r="A18">
        <v>286</v>
      </c>
      <c r="B18" t="s">
        <v>136</v>
      </c>
      <c r="C18" t="s">
        <v>5</v>
      </c>
      <c r="D18" t="s">
        <v>99</v>
      </c>
      <c r="E18">
        <v>926</v>
      </c>
      <c r="F18">
        <v>23150</v>
      </c>
      <c r="G18">
        <v>926</v>
      </c>
      <c r="H18">
        <v>891</v>
      </c>
      <c r="I18">
        <v>12</v>
      </c>
      <c r="J18" t="s">
        <v>68</v>
      </c>
      <c r="K18">
        <v>148</v>
      </c>
      <c r="L18">
        <v>25</v>
      </c>
      <c r="M18">
        <v>1929.17</v>
      </c>
    </row>
    <row r="19" spans="1:13" x14ac:dyDescent="0.35">
      <c r="A19">
        <v>168</v>
      </c>
      <c r="B19" t="s">
        <v>168</v>
      </c>
      <c r="C19" t="s">
        <v>5</v>
      </c>
      <c r="D19" t="s">
        <v>169</v>
      </c>
      <c r="E19">
        <v>908</v>
      </c>
      <c r="F19">
        <v>7272</v>
      </c>
      <c r="G19">
        <v>909</v>
      </c>
      <c r="H19">
        <v>875</v>
      </c>
      <c r="I19">
        <v>12</v>
      </c>
      <c r="J19" t="s">
        <v>68</v>
      </c>
      <c r="K19">
        <v>148</v>
      </c>
      <c r="L19">
        <v>8.01</v>
      </c>
      <c r="M19">
        <v>606</v>
      </c>
    </row>
    <row r="20" spans="1:13" x14ac:dyDescent="0.35">
      <c r="A20">
        <v>282</v>
      </c>
      <c r="B20" t="s">
        <v>146</v>
      </c>
      <c r="C20" t="s">
        <v>5</v>
      </c>
      <c r="D20" t="s">
        <v>99</v>
      </c>
      <c r="E20">
        <v>862</v>
      </c>
      <c r="F20">
        <v>21600</v>
      </c>
      <c r="G20">
        <v>864</v>
      </c>
      <c r="H20">
        <v>830</v>
      </c>
      <c r="I20">
        <v>12</v>
      </c>
      <c r="J20" t="s">
        <v>68</v>
      </c>
      <c r="K20">
        <v>148</v>
      </c>
      <c r="L20">
        <v>25.06</v>
      </c>
      <c r="M20">
        <v>1800</v>
      </c>
    </row>
    <row r="21" spans="1:13" x14ac:dyDescent="0.35">
      <c r="A21">
        <v>287</v>
      </c>
      <c r="B21" t="s">
        <v>125</v>
      </c>
      <c r="C21" t="s">
        <v>5</v>
      </c>
      <c r="D21" t="s">
        <v>99</v>
      </c>
      <c r="E21">
        <v>858</v>
      </c>
      <c r="F21">
        <v>28314</v>
      </c>
      <c r="G21">
        <v>858</v>
      </c>
      <c r="H21">
        <v>820</v>
      </c>
      <c r="I21">
        <v>13</v>
      </c>
      <c r="J21" t="s">
        <v>68</v>
      </c>
      <c r="K21">
        <v>148</v>
      </c>
      <c r="L21">
        <v>33</v>
      </c>
      <c r="M21">
        <v>2178</v>
      </c>
    </row>
    <row r="22" spans="1:13" x14ac:dyDescent="0.35">
      <c r="A22">
        <v>247</v>
      </c>
      <c r="B22" t="s">
        <v>110</v>
      </c>
      <c r="C22" t="s">
        <v>5</v>
      </c>
      <c r="D22" t="s">
        <v>111</v>
      </c>
      <c r="E22">
        <v>733</v>
      </c>
      <c r="F22">
        <v>40315</v>
      </c>
      <c r="G22">
        <v>733</v>
      </c>
      <c r="H22">
        <v>719</v>
      </c>
      <c r="I22">
        <v>12</v>
      </c>
      <c r="J22" t="s">
        <v>68</v>
      </c>
      <c r="K22">
        <v>148</v>
      </c>
      <c r="L22">
        <v>55</v>
      </c>
      <c r="M22">
        <v>3359.58</v>
      </c>
    </row>
    <row r="23" spans="1:13" x14ac:dyDescent="0.35">
      <c r="A23">
        <v>122</v>
      </c>
      <c r="B23" t="s">
        <v>24</v>
      </c>
      <c r="C23" t="s">
        <v>4</v>
      </c>
      <c r="D23" t="s">
        <v>25</v>
      </c>
      <c r="E23">
        <v>620</v>
      </c>
      <c r="F23">
        <v>1373454</v>
      </c>
      <c r="G23">
        <v>620</v>
      </c>
      <c r="H23">
        <v>600</v>
      </c>
      <c r="I23">
        <v>23</v>
      </c>
      <c r="J23" t="s">
        <v>26</v>
      </c>
      <c r="K23">
        <v>149</v>
      </c>
      <c r="L23">
        <v>2215.25</v>
      </c>
      <c r="M23">
        <v>59715.39</v>
      </c>
    </row>
    <row r="24" spans="1:13" x14ac:dyDescent="0.35">
      <c r="A24">
        <v>121</v>
      </c>
      <c r="B24" t="s">
        <v>27</v>
      </c>
      <c r="C24" t="s">
        <v>4</v>
      </c>
      <c r="D24" t="s">
        <v>25</v>
      </c>
      <c r="E24">
        <v>614</v>
      </c>
      <c r="F24">
        <v>1363128</v>
      </c>
      <c r="G24">
        <v>614</v>
      </c>
      <c r="H24">
        <v>604</v>
      </c>
      <c r="I24">
        <v>23</v>
      </c>
      <c r="J24" t="s">
        <v>26</v>
      </c>
      <c r="K24">
        <v>149</v>
      </c>
      <c r="L24">
        <v>2220.08</v>
      </c>
      <c r="M24">
        <v>59266.43</v>
      </c>
    </row>
    <row r="25" spans="1:13" x14ac:dyDescent="0.35">
      <c r="A25">
        <v>123</v>
      </c>
      <c r="B25" t="s">
        <v>28</v>
      </c>
      <c r="C25" t="s">
        <v>4</v>
      </c>
      <c r="D25" t="s">
        <v>25</v>
      </c>
      <c r="E25">
        <v>596</v>
      </c>
      <c r="F25">
        <v>1339394</v>
      </c>
      <c r="G25">
        <v>596</v>
      </c>
      <c r="H25">
        <v>583</v>
      </c>
      <c r="I25">
        <v>23</v>
      </c>
      <c r="J25" t="s">
        <v>26</v>
      </c>
      <c r="K25">
        <v>149</v>
      </c>
      <c r="L25">
        <v>2247.31</v>
      </c>
      <c r="M25">
        <v>58234.52</v>
      </c>
    </row>
    <row r="26" spans="1:13" x14ac:dyDescent="0.35">
      <c r="A26">
        <v>120</v>
      </c>
      <c r="B26" t="s">
        <v>30</v>
      </c>
      <c r="C26" t="s">
        <v>4</v>
      </c>
      <c r="D26" t="s">
        <v>25</v>
      </c>
      <c r="E26">
        <v>582</v>
      </c>
      <c r="F26">
        <v>1294854</v>
      </c>
      <c r="G26">
        <v>582</v>
      </c>
      <c r="H26">
        <v>565</v>
      </c>
      <c r="I26">
        <v>23</v>
      </c>
      <c r="J26" t="s">
        <v>26</v>
      </c>
      <c r="K26">
        <v>149</v>
      </c>
      <c r="L26">
        <v>2224.84</v>
      </c>
      <c r="M26">
        <v>56298</v>
      </c>
    </row>
    <row r="27" spans="1:13" x14ac:dyDescent="0.35">
      <c r="A27">
        <v>125</v>
      </c>
      <c r="B27" t="s">
        <v>29</v>
      </c>
      <c r="C27" t="s">
        <v>4</v>
      </c>
      <c r="D27" t="s">
        <v>25</v>
      </c>
      <c r="E27">
        <v>580</v>
      </c>
      <c r="F27">
        <v>1301029</v>
      </c>
      <c r="G27">
        <v>580</v>
      </c>
      <c r="H27">
        <v>567</v>
      </c>
      <c r="I27">
        <v>23</v>
      </c>
      <c r="J27" t="s">
        <v>26</v>
      </c>
      <c r="K27">
        <v>149</v>
      </c>
      <c r="L27">
        <v>2243.15</v>
      </c>
      <c r="M27">
        <v>56566.48</v>
      </c>
    </row>
    <row r="28" spans="1:13" x14ac:dyDescent="0.35">
      <c r="A28">
        <v>124</v>
      </c>
      <c r="B28" t="s">
        <v>31</v>
      </c>
      <c r="C28" t="s">
        <v>4</v>
      </c>
      <c r="D28" t="s">
        <v>25</v>
      </c>
      <c r="E28">
        <v>560</v>
      </c>
      <c r="F28">
        <v>1257368</v>
      </c>
      <c r="G28">
        <v>560</v>
      </c>
      <c r="H28">
        <v>547</v>
      </c>
      <c r="I28">
        <v>23</v>
      </c>
      <c r="J28" t="s">
        <v>26</v>
      </c>
      <c r="K28">
        <v>149</v>
      </c>
      <c r="L28">
        <v>2245.3000000000002</v>
      </c>
      <c r="M28">
        <v>54668.17</v>
      </c>
    </row>
    <row r="29" spans="1:13" x14ac:dyDescent="0.35">
      <c r="A29">
        <v>234</v>
      </c>
      <c r="B29" t="s">
        <v>161</v>
      </c>
      <c r="C29" t="s">
        <v>6</v>
      </c>
      <c r="D29" t="s">
        <v>162</v>
      </c>
      <c r="E29">
        <v>499</v>
      </c>
      <c r="F29">
        <v>11976</v>
      </c>
      <c r="G29">
        <v>499</v>
      </c>
      <c r="H29">
        <v>488</v>
      </c>
      <c r="I29">
        <v>12</v>
      </c>
      <c r="J29" t="s">
        <v>68</v>
      </c>
      <c r="K29">
        <v>148</v>
      </c>
      <c r="L29">
        <v>24</v>
      </c>
      <c r="M29">
        <v>998</v>
      </c>
    </row>
    <row r="30" spans="1:13" x14ac:dyDescent="0.35">
      <c r="A30">
        <v>235</v>
      </c>
      <c r="B30" t="s">
        <v>163</v>
      </c>
      <c r="C30" t="s">
        <v>6</v>
      </c>
      <c r="D30" t="s">
        <v>162</v>
      </c>
      <c r="E30">
        <v>488</v>
      </c>
      <c r="F30">
        <v>11712</v>
      </c>
      <c r="G30">
        <v>488</v>
      </c>
      <c r="H30">
        <v>479</v>
      </c>
      <c r="I30">
        <v>12</v>
      </c>
      <c r="J30" t="s">
        <v>68</v>
      </c>
      <c r="K30">
        <v>148</v>
      </c>
      <c r="L30">
        <v>24</v>
      </c>
      <c r="M30">
        <v>976</v>
      </c>
    </row>
    <row r="31" spans="1:13" x14ac:dyDescent="0.35">
      <c r="A31">
        <v>248</v>
      </c>
      <c r="B31" t="s">
        <v>137</v>
      </c>
      <c r="C31" t="s">
        <v>6</v>
      </c>
      <c r="D31" t="s">
        <v>138</v>
      </c>
      <c r="E31">
        <v>452</v>
      </c>
      <c r="F31">
        <v>22650</v>
      </c>
      <c r="G31">
        <v>453</v>
      </c>
      <c r="H31">
        <v>449</v>
      </c>
      <c r="I31">
        <v>13</v>
      </c>
      <c r="J31" t="s">
        <v>68</v>
      </c>
      <c r="K31">
        <v>148</v>
      </c>
      <c r="L31">
        <v>50.11</v>
      </c>
      <c r="M31">
        <v>1742.31</v>
      </c>
    </row>
    <row r="32" spans="1:13" x14ac:dyDescent="0.35">
      <c r="A32">
        <v>233</v>
      </c>
      <c r="B32" t="s">
        <v>165</v>
      </c>
      <c r="C32" t="s">
        <v>6</v>
      </c>
      <c r="D32" t="s">
        <v>162</v>
      </c>
      <c r="E32">
        <v>443</v>
      </c>
      <c r="F32">
        <v>10632</v>
      </c>
      <c r="G32">
        <v>443</v>
      </c>
      <c r="H32">
        <v>437</v>
      </c>
      <c r="I32">
        <v>12</v>
      </c>
      <c r="J32" t="s">
        <v>68</v>
      </c>
      <c r="K32">
        <v>148</v>
      </c>
      <c r="L32">
        <v>24</v>
      </c>
      <c r="M32">
        <v>886</v>
      </c>
    </row>
    <row r="33" spans="1:13" x14ac:dyDescent="0.35">
      <c r="A33">
        <v>249</v>
      </c>
      <c r="B33" t="s">
        <v>140</v>
      </c>
      <c r="C33" t="s">
        <v>6</v>
      </c>
      <c r="D33" t="s">
        <v>138</v>
      </c>
      <c r="E33">
        <v>442</v>
      </c>
      <c r="F33">
        <v>22100</v>
      </c>
      <c r="G33">
        <v>442</v>
      </c>
      <c r="H33">
        <v>436</v>
      </c>
      <c r="I33">
        <v>13</v>
      </c>
      <c r="J33" t="s">
        <v>68</v>
      </c>
      <c r="K33">
        <v>148</v>
      </c>
      <c r="L33">
        <v>50</v>
      </c>
      <c r="M33">
        <v>1700</v>
      </c>
    </row>
    <row r="34" spans="1:13" x14ac:dyDescent="0.35">
      <c r="A34">
        <v>250</v>
      </c>
      <c r="B34" t="s">
        <v>147</v>
      </c>
      <c r="C34" t="s">
        <v>6</v>
      </c>
      <c r="D34" t="s">
        <v>138</v>
      </c>
      <c r="E34">
        <v>429</v>
      </c>
      <c r="F34">
        <v>21450</v>
      </c>
      <c r="G34">
        <v>429</v>
      </c>
      <c r="H34">
        <v>426</v>
      </c>
      <c r="I34">
        <v>12</v>
      </c>
      <c r="J34" t="s">
        <v>68</v>
      </c>
      <c r="K34">
        <v>148</v>
      </c>
      <c r="L34">
        <v>50</v>
      </c>
      <c r="M34">
        <v>1787.5</v>
      </c>
    </row>
    <row r="35" spans="1:13" x14ac:dyDescent="0.35">
      <c r="A35">
        <v>251</v>
      </c>
      <c r="B35" t="s">
        <v>151</v>
      </c>
      <c r="C35" t="s">
        <v>6</v>
      </c>
      <c r="D35" t="s">
        <v>138</v>
      </c>
      <c r="E35">
        <v>413</v>
      </c>
      <c r="F35">
        <v>20700</v>
      </c>
      <c r="G35">
        <v>414</v>
      </c>
      <c r="H35">
        <v>409</v>
      </c>
      <c r="I35">
        <v>12</v>
      </c>
      <c r="J35" t="s">
        <v>68</v>
      </c>
      <c r="K35">
        <v>148</v>
      </c>
      <c r="L35">
        <v>50.12</v>
      </c>
      <c r="M35">
        <v>1725</v>
      </c>
    </row>
    <row r="36" spans="1:13" x14ac:dyDescent="0.35">
      <c r="A36">
        <v>278</v>
      </c>
      <c r="B36" t="s">
        <v>141</v>
      </c>
      <c r="C36" t="s">
        <v>6</v>
      </c>
      <c r="D36" t="s">
        <v>138</v>
      </c>
      <c r="E36">
        <v>409</v>
      </c>
      <c r="F36">
        <v>22086</v>
      </c>
      <c r="G36">
        <v>409</v>
      </c>
      <c r="H36">
        <v>405</v>
      </c>
      <c r="I36">
        <v>12</v>
      </c>
      <c r="J36" t="s">
        <v>68</v>
      </c>
      <c r="K36">
        <v>148</v>
      </c>
      <c r="L36">
        <v>54</v>
      </c>
      <c r="M36">
        <v>1840.5</v>
      </c>
    </row>
    <row r="37" spans="1:13" x14ac:dyDescent="0.35">
      <c r="A37">
        <v>276</v>
      </c>
      <c r="B37" t="s">
        <v>143</v>
      </c>
      <c r="C37" t="s">
        <v>6</v>
      </c>
      <c r="D37" t="s">
        <v>138</v>
      </c>
      <c r="E37">
        <v>407</v>
      </c>
      <c r="F37">
        <v>21978</v>
      </c>
      <c r="G37">
        <v>407</v>
      </c>
      <c r="H37">
        <v>404</v>
      </c>
      <c r="I37">
        <v>12</v>
      </c>
      <c r="J37" t="s">
        <v>68</v>
      </c>
      <c r="K37">
        <v>148</v>
      </c>
      <c r="L37">
        <v>54</v>
      </c>
      <c r="M37">
        <v>1831.5</v>
      </c>
    </row>
    <row r="38" spans="1:13" x14ac:dyDescent="0.35">
      <c r="A38">
        <v>277</v>
      </c>
      <c r="B38" t="s">
        <v>144</v>
      </c>
      <c r="C38" t="s">
        <v>6</v>
      </c>
      <c r="D38" t="s">
        <v>138</v>
      </c>
      <c r="E38">
        <v>406</v>
      </c>
      <c r="F38">
        <v>21924</v>
      </c>
      <c r="G38">
        <v>406</v>
      </c>
      <c r="H38">
        <v>402</v>
      </c>
      <c r="I38">
        <v>12</v>
      </c>
      <c r="J38" t="s">
        <v>68</v>
      </c>
      <c r="K38">
        <v>148</v>
      </c>
      <c r="L38">
        <v>54</v>
      </c>
      <c r="M38">
        <v>1827</v>
      </c>
    </row>
    <row r="39" spans="1:13" x14ac:dyDescent="0.35">
      <c r="A39">
        <v>128</v>
      </c>
      <c r="B39" t="s">
        <v>65</v>
      </c>
      <c r="C39" t="s">
        <v>4</v>
      </c>
      <c r="D39" t="s">
        <v>33</v>
      </c>
      <c r="E39">
        <v>386</v>
      </c>
      <c r="F39">
        <v>208440</v>
      </c>
      <c r="G39">
        <v>386</v>
      </c>
      <c r="H39">
        <v>386</v>
      </c>
      <c r="I39">
        <v>12</v>
      </c>
      <c r="J39" t="s">
        <v>39</v>
      </c>
      <c r="K39">
        <v>149</v>
      </c>
      <c r="L39">
        <v>540</v>
      </c>
      <c r="M39">
        <v>17370</v>
      </c>
    </row>
    <row r="40" spans="1:13" x14ac:dyDescent="0.35">
      <c r="A40">
        <v>275</v>
      </c>
      <c r="B40" t="s">
        <v>153</v>
      </c>
      <c r="C40" t="s">
        <v>6</v>
      </c>
      <c r="D40" t="s">
        <v>138</v>
      </c>
      <c r="E40">
        <v>374</v>
      </c>
      <c r="F40">
        <v>20196</v>
      </c>
      <c r="G40">
        <v>374</v>
      </c>
      <c r="H40">
        <v>372</v>
      </c>
      <c r="I40">
        <v>12</v>
      </c>
      <c r="J40" t="s">
        <v>68</v>
      </c>
      <c r="K40">
        <v>148</v>
      </c>
      <c r="L40">
        <v>54</v>
      </c>
      <c r="M40">
        <v>1683</v>
      </c>
    </row>
    <row r="41" spans="1:13" x14ac:dyDescent="0.35">
      <c r="A41">
        <v>127</v>
      </c>
      <c r="B41" t="s">
        <v>69</v>
      </c>
      <c r="C41" t="s">
        <v>4</v>
      </c>
      <c r="D41" t="s">
        <v>33</v>
      </c>
      <c r="E41">
        <v>363</v>
      </c>
      <c r="F41">
        <v>196020</v>
      </c>
      <c r="G41">
        <v>363</v>
      </c>
      <c r="H41">
        <v>363</v>
      </c>
      <c r="I41">
        <v>11</v>
      </c>
      <c r="J41" t="s">
        <v>68</v>
      </c>
      <c r="K41">
        <v>149</v>
      </c>
      <c r="L41">
        <v>540</v>
      </c>
      <c r="M41">
        <v>17820</v>
      </c>
    </row>
    <row r="42" spans="1:13" x14ac:dyDescent="0.35">
      <c r="A42">
        <v>272</v>
      </c>
      <c r="B42" t="s">
        <v>133</v>
      </c>
      <c r="C42" t="s">
        <v>6</v>
      </c>
      <c r="D42" t="s">
        <v>134</v>
      </c>
      <c r="E42">
        <v>363</v>
      </c>
      <c r="F42">
        <v>25410</v>
      </c>
      <c r="G42">
        <v>363</v>
      </c>
      <c r="H42">
        <v>363</v>
      </c>
      <c r="I42">
        <v>12</v>
      </c>
      <c r="J42" t="s">
        <v>68</v>
      </c>
      <c r="K42">
        <v>148</v>
      </c>
      <c r="L42">
        <v>70</v>
      </c>
      <c r="M42">
        <v>2117.5</v>
      </c>
    </row>
    <row r="43" spans="1:13" x14ac:dyDescent="0.35">
      <c r="A43">
        <v>126</v>
      </c>
      <c r="B43" t="s">
        <v>70</v>
      </c>
      <c r="C43" t="s">
        <v>4</v>
      </c>
      <c r="D43" t="s">
        <v>33</v>
      </c>
      <c r="E43">
        <v>360</v>
      </c>
      <c r="F43">
        <v>194400</v>
      </c>
      <c r="G43">
        <v>360</v>
      </c>
      <c r="H43">
        <v>360</v>
      </c>
      <c r="I43">
        <v>11</v>
      </c>
      <c r="J43" t="s">
        <v>68</v>
      </c>
      <c r="K43">
        <v>149</v>
      </c>
      <c r="L43">
        <v>540</v>
      </c>
      <c r="M43">
        <v>17672.73</v>
      </c>
    </row>
    <row r="44" spans="1:13" x14ac:dyDescent="0.35">
      <c r="A44">
        <v>273</v>
      </c>
      <c r="B44" t="s">
        <v>135</v>
      </c>
      <c r="C44" t="s">
        <v>6</v>
      </c>
      <c r="D44" t="s">
        <v>134</v>
      </c>
      <c r="E44">
        <v>352</v>
      </c>
      <c r="F44">
        <v>24640</v>
      </c>
      <c r="G44">
        <v>352</v>
      </c>
      <c r="H44">
        <v>352</v>
      </c>
      <c r="I44">
        <v>12</v>
      </c>
      <c r="J44" t="s">
        <v>68</v>
      </c>
      <c r="K44">
        <v>148</v>
      </c>
      <c r="L44">
        <v>70</v>
      </c>
      <c r="M44">
        <v>2053.33</v>
      </c>
    </row>
    <row r="45" spans="1:13" x14ac:dyDescent="0.35">
      <c r="A45">
        <v>17</v>
      </c>
      <c r="B45" t="s">
        <v>32</v>
      </c>
      <c r="C45" t="s">
        <v>4</v>
      </c>
      <c r="D45" t="s">
        <v>33</v>
      </c>
      <c r="E45">
        <v>337</v>
      </c>
      <c r="F45">
        <v>1205786</v>
      </c>
      <c r="G45">
        <v>337</v>
      </c>
      <c r="H45">
        <v>337</v>
      </c>
      <c r="I45">
        <v>11</v>
      </c>
      <c r="J45" t="s">
        <v>26</v>
      </c>
      <c r="K45">
        <v>173</v>
      </c>
      <c r="L45">
        <v>3578</v>
      </c>
      <c r="M45">
        <v>109616.91</v>
      </c>
    </row>
    <row r="46" spans="1:13" x14ac:dyDescent="0.35">
      <c r="A46">
        <v>20</v>
      </c>
      <c r="B46" t="s">
        <v>34</v>
      </c>
      <c r="C46" t="s">
        <v>4</v>
      </c>
      <c r="D46" t="s">
        <v>33</v>
      </c>
      <c r="E46">
        <v>336</v>
      </c>
      <c r="F46">
        <v>1202208</v>
      </c>
      <c r="G46">
        <v>336</v>
      </c>
      <c r="H46">
        <v>336</v>
      </c>
      <c r="I46">
        <v>11</v>
      </c>
      <c r="J46" t="s">
        <v>26</v>
      </c>
      <c r="K46">
        <v>173</v>
      </c>
      <c r="L46">
        <v>3578</v>
      </c>
      <c r="M46">
        <v>109291.64</v>
      </c>
    </row>
    <row r="47" spans="1:13" x14ac:dyDescent="0.35">
      <c r="A47">
        <v>129</v>
      </c>
      <c r="B47" t="s">
        <v>72</v>
      </c>
      <c r="C47" t="s">
        <v>4</v>
      </c>
      <c r="D47" t="s">
        <v>33</v>
      </c>
      <c r="E47">
        <v>334</v>
      </c>
      <c r="F47">
        <v>180360</v>
      </c>
      <c r="G47">
        <v>334</v>
      </c>
      <c r="H47">
        <v>334</v>
      </c>
      <c r="I47">
        <v>11</v>
      </c>
      <c r="J47" t="s">
        <v>68</v>
      </c>
      <c r="K47">
        <v>149</v>
      </c>
      <c r="L47">
        <v>540</v>
      </c>
      <c r="M47">
        <v>16396.36</v>
      </c>
    </row>
    <row r="48" spans="1:13" x14ac:dyDescent="0.35">
      <c r="A48">
        <v>260</v>
      </c>
      <c r="B48" t="s">
        <v>115</v>
      </c>
      <c r="C48" t="s">
        <v>5</v>
      </c>
      <c r="D48" t="s">
        <v>116</v>
      </c>
      <c r="E48">
        <v>328</v>
      </c>
      <c r="F48">
        <v>39360</v>
      </c>
      <c r="G48">
        <v>328</v>
      </c>
      <c r="H48">
        <v>325</v>
      </c>
      <c r="I48">
        <v>12</v>
      </c>
      <c r="J48" t="s">
        <v>68</v>
      </c>
      <c r="K48">
        <v>148</v>
      </c>
      <c r="L48">
        <v>120</v>
      </c>
      <c r="M48">
        <v>3280</v>
      </c>
    </row>
    <row r="49" spans="1:13" x14ac:dyDescent="0.35">
      <c r="A49">
        <v>141</v>
      </c>
      <c r="B49" t="s">
        <v>38</v>
      </c>
      <c r="C49" t="s">
        <v>4</v>
      </c>
      <c r="D49" t="s">
        <v>33</v>
      </c>
      <c r="E49">
        <v>319</v>
      </c>
      <c r="F49">
        <v>734425</v>
      </c>
      <c r="G49">
        <v>319</v>
      </c>
      <c r="H49">
        <v>312</v>
      </c>
      <c r="I49">
        <v>23</v>
      </c>
      <c r="J49" t="s">
        <v>39</v>
      </c>
      <c r="K49">
        <v>149</v>
      </c>
      <c r="L49">
        <v>2302.27</v>
      </c>
      <c r="M49">
        <v>31931.52</v>
      </c>
    </row>
    <row r="50" spans="1:13" x14ac:dyDescent="0.35">
      <c r="A50">
        <v>143</v>
      </c>
      <c r="B50" t="s">
        <v>40</v>
      </c>
      <c r="C50" t="s">
        <v>4</v>
      </c>
      <c r="D50" t="s">
        <v>33</v>
      </c>
      <c r="E50">
        <v>306</v>
      </c>
      <c r="F50">
        <v>702666</v>
      </c>
      <c r="G50">
        <v>306</v>
      </c>
      <c r="H50">
        <v>301</v>
      </c>
      <c r="I50">
        <v>23</v>
      </c>
      <c r="J50" t="s">
        <v>39</v>
      </c>
      <c r="K50">
        <v>149</v>
      </c>
      <c r="L50">
        <v>2296.29</v>
      </c>
      <c r="M50">
        <v>30550.7</v>
      </c>
    </row>
    <row r="51" spans="1:13" x14ac:dyDescent="0.35">
      <c r="A51">
        <v>132</v>
      </c>
      <c r="B51" t="s">
        <v>58</v>
      </c>
      <c r="C51" t="s">
        <v>4</v>
      </c>
      <c r="D51" t="s">
        <v>33</v>
      </c>
      <c r="E51">
        <v>306</v>
      </c>
      <c r="F51">
        <v>334440</v>
      </c>
      <c r="G51">
        <v>306</v>
      </c>
      <c r="H51">
        <v>303</v>
      </c>
      <c r="I51">
        <v>23</v>
      </c>
      <c r="J51" t="s">
        <v>39</v>
      </c>
      <c r="K51">
        <v>149</v>
      </c>
      <c r="L51">
        <v>1092.94</v>
      </c>
      <c r="M51">
        <v>14540.87</v>
      </c>
    </row>
    <row r="52" spans="1:13" x14ac:dyDescent="0.35">
      <c r="A52">
        <v>274</v>
      </c>
      <c r="B52" t="s">
        <v>148</v>
      </c>
      <c r="C52" t="s">
        <v>6</v>
      </c>
      <c r="D52" t="s">
        <v>134</v>
      </c>
      <c r="E52">
        <v>304</v>
      </c>
      <c r="F52">
        <v>21280</v>
      </c>
      <c r="G52">
        <v>304</v>
      </c>
      <c r="H52">
        <v>304</v>
      </c>
      <c r="I52">
        <v>12</v>
      </c>
      <c r="J52" t="s">
        <v>68</v>
      </c>
      <c r="K52">
        <v>148</v>
      </c>
      <c r="L52">
        <v>70</v>
      </c>
      <c r="M52">
        <v>1773.33</v>
      </c>
    </row>
    <row r="53" spans="1:13" x14ac:dyDescent="0.35">
      <c r="A53">
        <v>18</v>
      </c>
      <c r="B53" t="s">
        <v>35</v>
      </c>
      <c r="C53" t="s">
        <v>4</v>
      </c>
      <c r="D53" t="s">
        <v>33</v>
      </c>
      <c r="E53">
        <v>302</v>
      </c>
      <c r="F53">
        <v>1080556</v>
      </c>
      <c r="G53">
        <v>302</v>
      </c>
      <c r="H53">
        <v>302</v>
      </c>
      <c r="I53">
        <v>11</v>
      </c>
      <c r="J53" t="s">
        <v>26</v>
      </c>
      <c r="K53">
        <v>173</v>
      </c>
      <c r="L53">
        <v>3578</v>
      </c>
      <c r="M53">
        <v>98232.36</v>
      </c>
    </row>
    <row r="54" spans="1:13" x14ac:dyDescent="0.35">
      <c r="A54">
        <v>140</v>
      </c>
      <c r="B54" t="s">
        <v>41</v>
      </c>
      <c r="C54" t="s">
        <v>4</v>
      </c>
      <c r="D54" t="s">
        <v>33</v>
      </c>
      <c r="E54">
        <v>298</v>
      </c>
      <c r="F54">
        <v>691213</v>
      </c>
      <c r="G54">
        <v>298</v>
      </c>
      <c r="H54">
        <v>289</v>
      </c>
      <c r="I54">
        <v>23</v>
      </c>
      <c r="J54" t="s">
        <v>39</v>
      </c>
      <c r="K54">
        <v>149</v>
      </c>
      <c r="L54">
        <v>2319.5100000000002</v>
      </c>
      <c r="M54">
        <v>30052.74</v>
      </c>
    </row>
    <row r="55" spans="1:13" x14ac:dyDescent="0.35">
      <c r="A55">
        <v>280</v>
      </c>
      <c r="B55" t="s">
        <v>171</v>
      </c>
      <c r="C55" t="s">
        <v>6</v>
      </c>
      <c r="D55" t="s">
        <v>172</v>
      </c>
      <c r="E55">
        <v>298</v>
      </c>
      <c r="F55">
        <v>2682</v>
      </c>
      <c r="G55">
        <v>298</v>
      </c>
      <c r="H55">
        <v>295</v>
      </c>
      <c r="I55">
        <v>12</v>
      </c>
      <c r="J55" t="s">
        <v>68</v>
      </c>
      <c r="K55">
        <v>148</v>
      </c>
      <c r="L55">
        <v>9</v>
      </c>
      <c r="M55">
        <v>223.5</v>
      </c>
    </row>
    <row r="56" spans="1:13" x14ac:dyDescent="0.35">
      <c r="A56">
        <v>19</v>
      </c>
      <c r="B56" t="s">
        <v>36</v>
      </c>
      <c r="C56" t="s">
        <v>4</v>
      </c>
      <c r="D56" t="s">
        <v>33</v>
      </c>
      <c r="E56">
        <v>295</v>
      </c>
      <c r="F56">
        <v>1055510</v>
      </c>
      <c r="G56">
        <v>295</v>
      </c>
      <c r="H56">
        <v>295</v>
      </c>
      <c r="I56">
        <v>11</v>
      </c>
      <c r="J56" t="s">
        <v>26</v>
      </c>
      <c r="K56">
        <v>173</v>
      </c>
      <c r="L56">
        <v>3578</v>
      </c>
      <c r="M56">
        <v>95955.45</v>
      </c>
    </row>
    <row r="57" spans="1:13" x14ac:dyDescent="0.35">
      <c r="A57">
        <v>133</v>
      </c>
      <c r="B57" t="s">
        <v>61</v>
      </c>
      <c r="C57" t="s">
        <v>4</v>
      </c>
      <c r="D57" t="s">
        <v>33</v>
      </c>
      <c r="E57">
        <v>287</v>
      </c>
      <c r="F57">
        <v>312200</v>
      </c>
      <c r="G57">
        <v>287</v>
      </c>
      <c r="H57">
        <v>286</v>
      </c>
      <c r="I57">
        <v>23</v>
      </c>
      <c r="J57" t="s">
        <v>39</v>
      </c>
      <c r="K57">
        <v>149</v>
      </c>
      <c r="L57">
        <v>1087.8</v>
      </c>
      <c r="M57">
        <v>13573.91</v>
      </c>
    </row>
    <row r="58" spans="1:13" x14ac:dyDescent="0.35">
      <c r="A58">
        <v>16</v>
      </c>
      <c r="B58" t="s">
        <v>37</v>
      </c>
      <c r="C58" t="s">
        <v>4</v>
      </c>
      <c r="D58" t="s">
        <v>33</v>
      </c>
      <c r="E58">
        <v>281</v>
      </c>
      <c r="F58">
        <v>1005418</v>
      </c>
      <c r="G58">
        <v>281</v>
      </c>
      <c r="H58">
        <v>281</v>
      </c>
      <c r="I58">
        <v>11</v>
      </c>
      <c r="J58" t="s">
        <v>26</v>
      </c>
      <c r="K58">
        <v>173</v>
      </c>
      <c r="L58">
        <v>3578</v>
      </c>
      <c r="M58">
        <v>91401.64</v>
      </c>
    </row>
    <row r="59" spans="1:13" x14ac:dyDescent="0.35">
      <c r="A59">
        <v>139</v>
      </c>
      <c r="B59" t="s">
        <v>42</v>
      </c>
      <c r="C59" t="s">
        <v>4</v>
      </c>
      <c r="D59" t="s">
        <v>33</v>
      </c>
      <c r="E59">
        <v>271</v>
      </c>
      <c r="F59">
        <v>628384</v>
      </c>
      <c r="G59">
        <v>271</v>
      </c>
      <c r="H59">
        <v>266</v>
      </c>
      <c r="I59">
        <v>23</v>
      </c>
      <c r="J59" t="s">
        <v>39</v>
      </c>
      <c r="K59">
        <v>149</v>
      </c>
      <c r="L59">
        <v>2318.7600000000002</v>
      </c>
      <c r="M59">
        <v>27321.040000000001</v>
      </c>
    </row>
    <row r="60" spans="1:13" x14ac:dyDescent="0.35">
      <c r="A60">
        <v>142</v>
      </c>
      <c r="B60" t="s">
        <v>43</v>
      </c>
      <c r="C60" t="s">
        <v>4</v>
      </c>
      <c r="D60" t="s">
        <v>33</v>
      </c>
      <c r="E60">
        <v>270</v>
      </c>
      <c r="F60">
        <v>622026</v>
      </c>
      <c r="G60">
        <v>270</v>
      </c>
      <c r="H60">
        <v>265</v>
      </c>
      <c r="I60">
        <v>23</v>
      </c>
      <c r="J60" t="s">
        <v>39</v>
      </c>
      <c r="K60">
        <v>149</v>
      </c>
      <c r="L60">
        <v>2303.8000000000002</v>
      </c>
      <c r="M60">
        <v>27044.61</v>
      </c>
    </row>
    <row r="61" spans="1:13" x14ac:dyDescent="0.35">
      <c r="A61">
        <v>130</v>
      </c>
      <c r="B61" t="s">
        <v>62</v>
      </c>
      <c r="C61" t="s">
        <v>4</v>
      </c>
      <c r="D61" t="s">
        <v>33</v>
      </c>
      <c r="E61">
        <v>270</v>
      </c>
      <c r="F61">
        <v>293760</v>
      </c>
      <c r="G61">
        <v>270</v>
      </c>
      <c r="H61">
        <v>267</v>
      </c>
      <c r="I61">
        <v>23</v>
      </c>
      <c r="J61" t="s">
        <v>39</v>
      </c>
      <c r="K61">
        <v>149</v>
      </c>
      <c r="L61">
        <v>1088</v>
      </c>
      <c r="M61">
        <v>12772.17</v>
      </c>
    </row>
    <row r="62" spans="1:13" x14ac:dyDescent="0.35">
      <c r="A62">
        <v>279</v>
      </c>
      <c r="B62" t="s">
        <v>173</v>
      </c>
      <c r="C62" t="s">
        <v>6</v>
      </c>
      <c r="D62" t="s">
        <v>172</v>
      </c>
      <c r="E62">
        <v>270</v>
      </c>
      <c r="F62">
        <v>2430</v>
      </c>
      <c r="G62">
        <v>270</v>
      </c>
      <c r="H62">
        <v>269</v>
      </c>
      <c r="I62">
        <v>12</v>
      </c>
      <c r="J62" t="s">
        <v>68</v>
      </c>
      <c r="K62">
        <v>148</v>
      </c>
      <c r="L62">
        <v>9</v>
      </c>
      <c r="M62">
        <v>202.5</v>
      </c>
    </row>
    <row r="63" spans="1:13" x14ac:dyDescent="0.35">
      <c r="A63">
        <v>131</v>
      </c>
      <c r="B63" t="s">
        <v>63</v>
      </c>
      <c r="C63" t="s">
        <v>4</v>
      </c>
      <c r="D63" t="s">
        <v>33</v>
      </c>
      <c r="E63">
        <v>266</v>
      </c>
      <c r="F63">
        <v>289880</v>
      </c>
      <c r="G63">
        <v>266</v>
      </c>
      <c r="H63">
        <v>264</v>
      </c>
      <c r="I63">
        <v>23</v>
      </c>
      <c r="J63" t="s">
        <v>39</v>
      </c>
      <c r="K63">
        <v>149</v>
      </c>
      <c r="L63">
        <v>1089.77</v>
      </c>
      <c r="M63">
        <v>12603.48</v>
      </c>
    </row>
    <row r="64" spans="1:13" x14ac:dyDescent="0.35">
      <c r="A64">
        <v>134</v>
      </c>
      <c r="B64" t="s">
        <v>64</v>
      </c>
      <c r="C64" t="s">
        <v>4</v>
      </c>
      <c r="D64" t="s">
        <v>33</v>
      </c>
      <c r="E64">
        <v>261</v>
      </c>
      <c r="F64">
        <v>283680</v>
      </c>
      <c r="G64">
        <v>261</v>
      </c>
      <c r="H64">
        <v>258</v>
      </c>
      <c r="I64">
        <v>22</v>
      </c>
      <c r="J64" t="s">
        <v>39</v>
      </c>
      <c r="K64">
        <v>149</v>
      </c>
      <c r="L64">
        <v>1086.9000000000001</v>
      </c>
      <c r="M64">
        <v>12894.55</v>
      </c>
    </row>
    <row r="65" spans="1:13" x14ac:dyDescent="0.35">
      <c r="A65">
        <v>281</v>
      </c>
      <c r="B65" t="s">
        <v>113</v>
      </c>
      <c r="C65" t="s">
        <v>5</v>
      </c>
      <c r="D65" t="s">
        <v>114</v>
      </c>
      <c r="E65">
        <v>249</v>
      </c>
      <c r="F65">
        <v>39591</v>
      </c>
      <c r="G65">
        <v>249</v>
      </c>
      <c r="H65">
        <v>243</v>
      </c>
      <c r="I65">
        <v>13</v>
      </c>
      <c r="J65" t="s">
        <v>68</v>
      </c>
      <c r="K65">
        <v>148</v>
      </c>
      <c r="L65">
        <v>159</v>
      </c>
      <c r="M65">
        <v>3045.46</v>
      </c>
    </row>
    <row r="66" spans="1:13" x14ac:dyDescent="0.35">
      <c r="A66">
        <v>135</v>
      </c>
      <c r="B66" t="s">
        <v>46</v>
      </c>
      <c r="C66" t="s">
        <v>4</v>
      </c>
      <c r="D66" t="s">
        <v>33</v>
      </c>
      <c r="E66">
        <v>246</v>
      </c>
      <c r="F66">
        <v>418446</v>
      </c>
      <c r="G66">
        <v>246</v>
      </c>
      <c r="H66">
        <v>246</v>
      </c>
      <c r="I66">
        <v>11</v>
      </c>
      <c r="J66" t="s">
        <v>39</v>
      </c>
      <c r="K66">
        <v>149</v>
      </c>
      <c r="L66">
        <v>1701</v>
      </c>
      <c r="M66">
        <v>38040.550000000003</v>
      </c>
    </row>
    <row r="67" spans="1:13" x14ac:dyDescent="0.35">
      <c r="A67">
        <v>136</v>
      </c>
      <c r="B67" t="s">
        <v>48</v>
      </c>
      <c r="C67" t="s">
        <v>4</v>
      </c>
      <c r="D67" t="s">
        <v>33</v>
      </c>
      <c r="E67">
        <v>235</v>
      </c>
      <c r="F67">
        <v>399735</v>
      </c>
      <c r="G67">
        <v>235</v>
      </c>
      <c r="H67">
        <v>235</v>
      </c>
      <c r="I67">
        <v>11</v>
      </c>
      <c r="J67" t="s">
        <v>39</v>
      </c>
      <c r="K67">
        <v>149</v>
      </c>
      <c r="L67">
        <v>1701</v>
      </c>
      <c r="M67">
        <v>36339.550000000003</v>
      </c>
    </row>
    <row r="68" spans="1:13" x14ac:dyDescent="0.35">
      <c r="A68">
        <v>138</v>
      </c>
      <c r="B68" t="s">
        <v>50</v>
      </c>
      <c r="C68" t="s">
        <v>4</v>
      </c>
      <c r="D68" t="s">
        <v>33</v>
      </c>
      <c r="E68">
        <v>232</v>
      </c>
      <c r="F68">
        <v>394632</v>
      </c>
      <c r="G68">
        <v>232</v>
      </c>
      <c r="H68">
        <v>232</v>
      </c>
      <c r="I68">
        <v>11</v>
      </c>
      <c r="J68" t="s">
        <v>39</v>
      </c>
      <c r="K68">
        <v>149</v>
      </c>
      <c r="L68">
        <v>1701</v>
      </c>
      <c r="M68">
        <v>35875.64</v>
      </c>
    </row>
    <row r="69" spans="1:13" x14ac:dyDescent="0.35">
      <c r="A69">
        <v>137</v>
      </c>
      <c r="B69" t="s">
        <v>53</v>
      </c>
      <c r="C69" t="s">
        <v>4</v>
      </c>
      <c r="D69" t="s">
        <v>33</v>
      </c>
      <c r="E69">
        <v>216</v>
      </c>
      <c r="F69">
        <v>367416</v>
      </c>
      <c r="G69">
        <v>216</v>
      </c>
      <c r="H69">
        <v>216</v>
      </c>
      <c r="I69">
        <v>11</v>
      </c>
      <c r="J69" t="s">
        <v>39</v>
      </c>
      <c r="K69">
        <v>149</v>
      </c>
      <c r="L69">
        <v>1701</v>
      </c>
      <c r="M69">
        <v>33401.449999999997</v>
      </c>
    </row>
    <row r="70" spans="1:13" x14ac:dyDescent="0.35">
      <c r="A70">
        <v>293</v>
      </c>
      <c r="B70" t="s">
        <v>158</v>
      </c>
      <c r="C70" t="s">
        <v>6</v>
      </c>
      <c r="D70" t="s">
        <v>159</v>
      </c>
      <c r="E70">
        <v>199</v>
      </c>
      <c r="F70">
        <v>12736</v>
      </c>
      <c r="G70">
        <v>199</v>
      </c>
      <c r="H70">
        <v>199</v>
      </c>
      <c r="I70">
        <v>12</v>
      </c>
      <c r="J70" t="s">
        <v>68</v>
      </c>
      <c r="K70">
        <v>148</v>
      </c>
      <c r="L70">
        <v>64</v>
      </c>
      <c r="M70">
        <v>1061.33</v>
      </c>
    </row>
    <row r="71" spans="1:13" x14ac:dyDescent="0.35">
      <c r="A71">
        <v>292</v>
      </c>
      <c r="B71" t="s">
        <v>160</v>
      </c>
      <c r="C71" t="s">
        <v>6</v>
      </c>
      <c r="D71" t="s">
        <v>159</v>
      </c>
      <c r="E71">
        <v>195</v>
      </c>
      <c r="F71">
        <v>12480</v>
      </c>
      <c r="G71">
        <v>195</v>
      </c>
      <c r="H71">
        <v>195</v>
      </c>
      <c r="I71">
        <v>12</v>
      </c>
      <c r="J71" t="s">
        <v>68</v>
      </c>
      <c r="K71">
        <v>148</v>
      </c>
      <c r="L71">
        <v>64</v>
      </c>
      <c r="M71">
        <v>1040</v>
      </c>
    </row>
    <row r="72" spans="1:13" x14ac:dyDescent="0.35">
      <c r="A72">
        <v>158</v>
      </c>
      <c r="B72" t="s">
        <v>44</v>
      </c>
      <c r="C72" t="s">
        <v>4</v>
      </c>
      <c r="D72" t="s">
        <v>45</v>
      </c>
      <c r="E72">
        <v>177</v>
      </c>
      <c r="F72">
        <v>421968</v>
      </c>
      <c r="G72">
        <v>177</v>
      </c>
      <c r="H72">
        <v>177</v>
      </c>
      <c r="I72">
        <v>11</v>
      </c>
      <c r="J72" t="s">
        <v>39</v>
      </c>
      <c r="K72">
        <v>149</v>
      </c>
      <c r="L72">
        <v>2384</v>
      </c>
      <c r="M72">
        <v>38360.730000000003</v>
      </c>
    </row>
    <row r="73" spans="1:13" x14ac:dyDescent="0.35">
      <c r="A73">
        <v>162</v>
      </c>
      <c r="B73" t="s">
        <v>47</v>
      </c>
      <c r="C73" t="s">
        <v>4</v>
      </c>
      <c r="D73" t="s">
        <v>45</v>
      </c>
      <c r="E73">
        <v>172</v>
      </c>
      <c r="F73">
        <v>410048</v>
      </c>
      <c r="G73">
        <v>172</v>
      </c>
      <c r="H73">
        <v>170</v>
      </c>
      <c r="I73">
        <v>11</v>
      </c>
      <c r="J73" t="s">
        <v>39</v>
      </c>
      <c r="K73">
        <v>149</v>
      </c>
      <c r="L73">
        <v>2384</v>
      </c>
      <c r="M73">
        <v>37277.089999999997</v>
      </c>
    </row>
    <row r="74" spans="1:13" x14ac:dyDescent="0.35">
      <c r="A74">
        <v>294</v>
      </c>
      <c r="B74" t="s">
        <v>164</v>
      </c>
      <c r="C74" t="s">
        <v>6</v>
      </c>
      <c r="D74" t="s">
        <v>159</v>
      </c>
      <c r="E74">
        <v>168</v>
      </c>
      <c r="F74">
        <v>10944</v>
      </c>
      <c r="G74">
        <v>171</v>
      </c>
      <c r="H74">
        <v>168</v>
      </c>
      <c r="I74">
        <v>12</v>
      </c>
      <c r="J74" t="s">
        <v>68</v>
      </c>
      <c r="K74">
        <v>148</v>
      </c>
      <c r="L74">
        <v>65.14</v>
      </c>
      <c r="M74">
        <v>912</v>
      </c>
    </row>
    <row r="75" spans="1:13" x14ac:dyDescent="0.35">
      <c r="A75">
        <v>49</v>
      </c>
      <c r="B75" t="s">
        <v>49</v>
      </c>
      <c r="C75" t="s">
        <v>4</v>
      </c>
      <c r="D75" t="s">
        <v>33</v>
      </c>
      <c r="E75">
        <v>162</v>
      </c>
      <c r="F75">
        <v>395766</v>
      </c>
      <c r="G75">
        <v>162</v>
      </c>
      <c r="H75">
        <v>162</v>
      </c>
      <c r="I75">
        <v>11</v>
      </c>
      <c r="J75" t="s">
        <v>39</v>
      </c>
      <c r="K75">
        <v>161</v>
      </c>
      <c r="L75">
        <v>2443</v>
      </c>
      <c r="M75">
        <v>35978.730000000003</v>
      </c>
    </row>
    <row r="76" spans="1:13" x14ac:dyDescent="0.35">
      <c r="A76">
        <v>160</v>
      </c>
      <c r="B76" t="s">
        <v>51</v>
      </c>
      <c r="C76" t="s">
        <v>4</v>
      </c>
      <c r="D76" t="s">
        <v>45</v>
      </c>
      <c r="E76">
        <v>160</v>
      </c>
      <c r="F76">
        <v>381440</v>
      </c>
      <c r="G76">
        <v>160</v>
      </c>
      <c r="H76">
        <v>160</v>
      </c>
      <c r="I76">
        <v>11</v>
      </c>
      <c r="J76" t="s">
        <v>39</v>
      </c>
      <c r="K76">
        <v>149</v>
      </c>
      <c r="L76">
        <v>2384</v>
      </c>
      <c r="M76">
        <v>34676.36</v>
      </c>
    </row>
    <row r="77" spans="1:13" x14ac:dyDescent="0.35">
      <c r="A77">
        <v>164</v>
      </c>
      <c r="B77" t="s">
        <v>52</v>
      </c>
      <c r="C77" t="s">
        <v>4</v>
      </c>
      <c r="D77" t="s">
        <v>45</v>
      </c>
      <c r="E77">
        <v>158</v>
      </c>
      <c r="F77">
        <v>376672</v>
      </c>
      <c r="G77">
        <v>158</v>
      </c>
      <c r="H77">
        <v>158</v>
      </c>
      <c r="I77">
        <v>11</v>
      </c>
      <c r="J77" t="s">
        <v>39</v>
      </c>
      <c r="K77">
        <v>149</v>
      </c>
      <c r="L77">
        <v>2384</v>
      </c>
      <c r="M77">
        <v>34242.910000000003</v>
      </c>
    </row>
    <row r="78" spans="1:13" x14ac:dyDescent="0.35">
      <c r="A78">
        <v>163</v>
      </c>
      <c r="B78" t="s">
        <v>54</v>
      </c>
      <c r="C78" t="s">
        <v>4</v>
      </c>
      <c r="D78" t="s">
        <v>45</v>
      </c>
      <c r="E78">
        <v>151</v>
      </c>
      <c r="F78">
        <v>359984</v>
      </c>
      <c r="G78">
        <v>151</v>
      </c>
      <c r="H78">
        <v>150</v>
      </c>
      <c r="I78">
        <v>11</v>
      </c>
      <c r="J78" t="s">
        <v>39</v>
      </c>
      <c r="K78">
        <v>149</v>
      </c>
      <c r="L78">
        <v>2384</v>
      </c>
      <c r="M78">
        <v>32725.82</v>
      </c>
    </row>
    <row r="79" spans="1:13" x14ac:dyDescent="0.35">
      <c r="A79">
        <v>159</v>
      </c>
      <c r="B79" t="s">
        <v>55</v>
      </c>
      <c r="C79" t="s">
        <v>4</v>
      </c>
      <c r="D79" t="s">
        <v>45</v>
      </c>
      <c r="E79">
        <v>150</v>
      </c>
      <c r="F79">
        <v>357600</v>
      </c>
      <c r="G79">
        <v>150</v>
      </c>
      <c r="H79">
        <v>150</v>
      </c>
      <c r="I79">
        <v>11</v>
      </c>
      <c r="J79" t="s">
        <v>39</v>
      </c>
      <c r="K79">
        <v>149</v>
      </c>
      <c r="L79">
        <v>2384</v>
      </c>
      <c r="M79">
        <v>32509.09</v>
      </c>
    </row>
    <row r="80" spans="1:13" x14ac:dyDescent="0.35">
      <c r="A80">
        <v>116</v>
      </c>
      <c r="B80" t="s">
        <v>80</v>
      </c>
      <c r="C80" t="s">
        <v>4</v>
      </c>
      <c r="D80" t="s">
        <v>25</v>
      </c>
      <c r="E80">
        <v>148</v>
      </c>
      <c r="F80">
        <v>113812</v>
      </c>
      <c r="G80">
        <v>148</v>
      </c>
      <c r="H80">
        <v>148</v>
      </c>
      <c r="I80">
        <v>11</v>
      </c>
      <c r="J80" t="s">
        <v>68</v>
      </c>
      <c r="K80">
        <v>149</v>
      </c>
      <c r="L80">
        <v>769</v>
      </c>
      <c r="M80">
        <v>10346.549999999999</v>
      </c>
    </row>
    <row r="81" spans="1:13" x14ac:dyDescent="0.35">
      <c r="A81">
        <v>161</v>
      </c>
      <c r="B81" t="s">
        <v>57</v>
      </c>
      <c r="C81" t="s">
        <v>4</v>
      </c>
      <c r="D81" t="s">
        <v>45</v>
      </c>
      <c r="E81">
        <v>147</v>
      </c>
      <c r="F81">
        <v>350448</v>
      </c>
      <c r="G81">
        <v>147</v>
      </c>
      <c r="H81">
        <v>147</v>
      </c>
      <c r="I81">
        <v>11</v>
      </c>
      <c r="J81" t="s">
        <v>39</v>
      </c>
      <c r="K81">
        <v>149</v>
      </c>
      <c r="L81">
        <v>2384</v>
      </c>
      <c r="M81">
        <v>31858.91</v>
      </c>
    </row>
    <row r="82" spans="1:13" x14ac:dyDescent="0.35">
      <c r="A82">
        <v>48</v>
      </c>
      <c r="B82" t="s">
        <v>56</v>
      </c>
      <c r="C82" t="s">
        <v>4</v>
      </c>
      <c r="D82" t="s">
        <v>33</v>
      </c>
      <c r="E82">
        <v>144</v>
      </c>
      <c r="F82">
        <v>351792</v>
      </c>
      <c r="G82">
        <v>144</v>
      </c>
      <c r="H82">
        <v>144</v>
      </c>
      <c r="I82">
        <v>11</v>
      </c>
      <c r="J82" t="s">
        <v>39</v>
      </c>
      <c r="K82">
        <v>161</v>
      </c>
      <c r="L82">
        <v>2443</v>
      </c>
      <c r="M82">
        <v>31981.09</v>
      </c>
    </row>
    <row r="83" spans="1:13" x14ac:dyDescent="0.35">
      <c r="A83">
        <v>165</v>
      </c>
      <c r="B83" t="s">
        <v>59</v>
      </c>
      <c r="C83" t="s">
        <v>4</v>
      </c>
      <c r="D83" t="s">
        <v>45</v>
      </c>
      <c r="E83">
        <v>140</v>
      </c>
      <c r="F83">
        <v>333760</v>
      </c>
      <c r="G83">
        <v>140</v>
      </c>
      <c r="H83">
        <v>140</v>
      </c>
      <c r="I83">
        <v>11</v>
      </c>
      <c r="J83" t="s">
        <v>39</v>
      </c>
      <c r="K83">
        <v>149</v>
      </c>
      <c r="L83">
        <v>2384</v>
      </c>
      <c r="M83">
        <v>30341.82</v>
      </c>
    </row>
    <row r="84" spans="1:13" x14ac:dyDescent="0.35">
      <c r="A84">
        <v>119</v>
      </c>
      <c r="B84" t="s">
        <v>82</v>
      </c>
      <c r="C84" t="s">
        <v>4</v>
      </c>
      <c r="D84" t="s">
        <v>25</v>
      </c>
      <c r="E84">
        <v>138</v>
      </c>
      <c r="F84">
        <v>106122</v>
      </c>
      <c r="G84">
        <v>138</v>
      </c>
      <c r="H84">
        <v>138</v>
      </c>
      <c r="I84">
        <v>11</v>
      </c>
      <c r="J84" t="s">
        <v>68</v>
      </c>
      <c r="K84">
        <v>149</v>
      </c>
      <c r="L84">
        <v>769</v>
      </c>
      <c r="M84">
        <v>9647.4500000000007</v>
      </c>
    </row>
    <row r="85" spans="1:13" x14ac:dyDescent="0.35">
      <c r="A85">
        <v>50</v>
      </c>
      <c r="B85" t="s">
        <v>60</v>
      </c>
      <c r="C85" t="s">
        <v>4</v>
      </c>
      <c r="D85" t="s">
        <v>33</v>
      </c>
      <c r="E85">
        <v>133</v>
      </c>
      <c r="F85">
        <v>324919</v>
      </c>
      <c r="G85">
        <v>133</v>
      </c>
      <c r="H85">
        <v>133</v>
      </c>
      <c r="I85">
        <v>11</v>
      </c>
      <c r="J85" t="s">
        <v>39</v>
      </c>
      <c r="K85">
        <v>161</v>
      </c>
      <c r="L85">
        <v>2443</v>
      </c>
      <c r="M85">
        <v>29538.09</v>
      </c>
    </row>
    <row r="86" spans="1:13" x14ac:dyDescent="0.35">
      <c r="A86">
        <v>118</v>
      </c>
      <c r="B86" t="s">
        <v>83</v>
      </c>
      <c r="C86" t="s">
        <v>4</v>
      </c>
      <c r="D86" t="s">
        <v>25</v>
      </c>
      <c r="E86">
        <v>129</v>
      </c>
      <c r="F86">
        <v>99201</v>
      </c>
      <c r="G86">
        <v>129</v>
      </c>
      <c r="H86">
        <v>129</v>
      </c>
      <c r="I86">
        <v>11</v>
      </c>
      <c r="J86" t="s">
        <v>68</v>
      </c>
      <c r="K86">
        <v>149</v>
      </c>
      <c r="L86">
        <v>769</v>
      </c>
      <c r="M86">
        <v>9018.27</v>
      </c>
    </row>
    <row r="87" spans="1:13" x14ac:dyDescent="0.35">
      <c r="A87">
        <v>117</v>
      </c>
      <c r="B87" t="s">
        <v>84</v>
      </c>
      <c r="C87" t="s">
        <v>4</v>
      </c>
      <c r="D87" t="s">
        <v>25</v>
      </c>
      <c r="E87">
        <v>128</v>
      </c>
      <c r="F87">
        <v>98432</v>
      </c>
      <c r="G87">
        <v>128</v>
      </c>
      <c r="H87">
        <v>128</v>
      </c>
      <c r="I87">
        <v>11</v>
      </c>
      <c r="J87" t="s">
        <v>68</v>
      </c>
      <c r="K87">
        <v>149</v>
      </c>
      <c r="L87">
        <v>769</v>
      </c>
      <c r="M87">
        <v>8948.36</v>
      </c>
    </row>
    <row r="88" spans="1:13" x14ac:dyDescent="0.35">
      <c r="A88">
        <v>155</v>
      </c>
      <c r="B88" t="s">
        <v>77</v>
      </c>
      <c r="C88" t="s">
        <v>4</v>
      </c>
      <c r="D88" t="s">
        <v>45</v>
      </c>
      <c r="E88">
        <v>106</v>
      </c>
      <c r="F88">
        <v>128790</v>
      </c>
      <c r="G88">
        <v>106</v>
      </c>
      <c r="H88">
        <v>106</v>
      </c>
      <c r="I88">
        <v>11</v>
      </c>
      <c r="J88" t="s">
        <v>68</v>
      </c>
      <c r="K88">
        <v>149</v>
      </c>
      <c r="L88">
        <v>1215</v>
      </c>
      <c r="M88">
        <v>11708.18</v>
      </c>
    </row>
    <row r="89" spans="1:13" x14ac:dyDescent="0.35">
      <c r="A89">
        <v>154</v>
      </c>
      <c r="B89" t="s">
        <v>79</v>
      </c>
      <c r="C89" t="s">
        <v>4</v>
      </c>
      <c r="D89" t="s">
        <v>45</v>
      </c>
      <c r="E89">
        <v>97</v>
      </c>
      <c r="F89">
        <v>117855</v>
      </c>
      <c r="G89">
        <v>97</v>
      </c>
      <c r="H89">
        <v>97</v>
      </c>
      <c r="I89">
        <v>11</v>
      </c>
      <c r="J89" t="s">
        <v>68</v>
      </c>
      <c r="K89">
        <v>149</v>
      </c>
      <c r="L89">
        <v>1215</v>
      </c>
      <c r="M89">
        <v>10714.09</v>
      </c>
    </row>
    <row r="90" spans="1:13" x14ac:dyDescent="0.35">
      <c r="A90">
        <v>38</v>
      </c>
      <c r="B90" t="s">
        <v>90</v>
      </c>
      <c r="C90" t="s">
        <v>4</v>
      </c>
      <c r="D90" t="s">
        <v>33</v>
      </c>
      <c r="E90">
        <v>89</v>
      </c>
      <c r="F90">
        <v>66915</v>
      </c>
      <c r="G90">
        <v>89</v>
      </c>
      <c r="H90">
        <v>89</v>
      </c>
      <c r="I90">
        <v>22</v>
      </c>
      <c r="J90" t="s">
        <v>68</v>
      </c>
      <c r="K90">
        <v>161</v>
      </c>
      <c r="L90">
        <v>751.85</v>
      </c>
      <c r="M90">
        <v>3041.59</v>
      </c>
    </row>
    <row r="91" spans="1:13" x14ac:dyDescent="0.35">
      <c r="A91">
        <v>156</v>
      </c>
      <c r="B91" t="s">
        <v>81</v>
      </c>
      <c r="C91" t="s">
        <v>4</v>
      </c>
      <c r="D91" t="s">
        <v>45</v>
      </c>
      <c r="E91">
        <v>88</v>
      </c>
      <c r="F91">
        <v>106920</v>
      </c>
      <c r="G91">
        <v>88</v>
      </c>
      <c r="H91">
        <v>88</v>
      </c>
      <c r="I91">
        <v>11</v>
      </c>
      <c r="J91" t="s">
        <v>68</v>
      </c>
      <c r="K91">
        <v>149</v>
      </c>
      <c r="L91">
        <v>1215</v>
      </c>
      <c r="M91">
        <v>9720</v>
      </c>
    </row>
    <row r="92" spans="1:13" x14ac:dyDescent="0.35">
      <c r="A92">
        <v>43</v>
      </c>
      <c r="B92" t="s">
        <v>91</v>
      </c>
      <c r="C92" t="s">
        <v>4</v>
      </c>
      <c r="D92" t="s">
        <v>33</v>
      </c>
      <c r="E92">
        <v>88</v>
      </c>
      <c r="F92">
        <v>66720</v>
      </c>
      <c r="G92">
        <v>88</v>
      </c>
      <c r="H92">
        <v>88</v>
      </c>
      <c r="I92">
        <v>23</v>
      </c>
      <c r="J92" t="s">
        <v>68</v>
      </c>
      <c r="K92">
        <v>161</v>
      </c>
      <c r="L92">
        <v>758.18</v>
      </c>
      <c r="M92">
        <v>2900.87</v>
      </c>
    </row>
    <row r="93" spans="1:13" x14ac:dyDescent="0.35">
      <c r="A93">
        <v>157</v>
      </c>
      <c r="B93" t="s">
        <v>85</v>
      </c>
      <c r="C93" t="s">
        <v>4</v>
      </c>
      <c r="D93" t="s">
        <v>45</v>
      </c>
      <c r="E93">
        <v>81</v>
      </c>
      <c r="F93">
        <v>98415</v>
      </c>
      <c r="G93">
        <v>81</v>
      </c>
      <c r="H93">
        <v>81</v>
      </c>
      <c r="I93">
        <v>11</v>
      </c>
      <c r="J93" t="s">
        <v>68</v>
      </c>
      <c r="K93">
        <v>149</v>
      </c>
      <c r="L93">
        <v>1215</v>
      </c>
      <c r="M93">
        <v>8946.82</v>
      </c>
    </row>
    <row r="94" spans="1:13" x14ac:dyDescent="0.35">
      <c r="A94">
        <v>39</v>
      </c>
      <c r="B94" t="s">
        <v>92</v>
      </c>
      <c r="C94" t="s">
        <v>4</v>
      </c>
      <c r="D94" t="s">
        <v>33</v>
      </c>
      <c r="E94">
        <v>76</v>
      </c>
      <c r="F94">
        <v>57996</v>
      </c>
      <c r="G94">
        <v>76</v>
      </c>
      <c r="H94">
        <v>76</v>
      </c>
      <c r="I94">
        <v>23</v>
      </c>
      <c r="J94" t="s">
        <v>68</v>
      </c>
      <c r="K94">
        <v>161</v>
      </c>
      <c r="L94">
        <v>763.11</v>
      </c>
      <c r="M94">
        <v>2521.5700000000002</v>
      </c>
    </row>
    <row r="95" spans="1:13" x14ac:dyDescent="0.35">
      <c r="A95">
        <v>40</v>
      </c>
      <c r="B95" t="s">
        <v>94</v>
      </c>
      <c r="C95" t="s">
        <v>4</v>
      </c>
      <c r="D95" t="s">
        <v>33</v>
      </c>
      <c r="E95">
        <v>76</v>
      </c>
      <c r="F95">
        <v>57156</v>
      </c>
      <c r="G95">
        <v>76</v>
      </c>
      <c r="H95">
        <v>76</v>
      </c>
      <c r="I95">
        <v>22</v>
      </c>
      <c r="J95" t="s">
        <v>68</v>
      </c>
      <c r="K95">
        <v>161</v>
      </c>
      <c r="L95">
        <v>752.05</v>
      </c>
      <c r="M95">
        <v>2598</v>
      </c>
    </row>
    <row r="96" spans="1:13" x14ac:dyDescent="0.35">
      <c r="A96">
        <v>47</v>
      </c>
      <c r="B96" t="s">
        <v>93</v>
      </c>
      <c r="C96" t="s">
        <v>4</v>
      </c>
      <c r="D96" t="s">
        <v>33</v>
      </c>
      <c r="E96">
        <v>75</v>
      </c>
      <c r="F96">
        <v>57381</v>
      </c>
      <c r="G96">
        <v>75</v>
      </c>
      <c r="H96">
        <v>75</v>
      </c>
      <c r="I96">
        <v>22</v>
      </c>
      <c r="J96" t="s">
        <v>68</v>
      </c>
      <c r="K96">
        <v>161</v>
      </c>
      <c r="L96">
        <v>765.08</v>
      </c>
      <c r="M96">
        <v>2608.23</v>
      </c>
    </row>
    <row r="97" spans="1:13" x14ac:dyDescent="0.35">
      <c r="A97">
        <v>45</v>
      </c>
      <c r="B97" t="s">
        <v>95</v>
      </c>
      <c r="C97" t="s">
        <v>4</v>
      </c>
      <c r="D97" t="s">
        <v>33</v>
      </c>
      <c r="E97">
        <v>74</v>
      </c>
      <c r="F97">
        <v>56346</v>
      </c>
      <c r="G97">
        <v>74</v>
      </c>
      <c r="H97">
        <v>74</v>
      </c>
      <c r="I97">
        <v>22</v>
      </c>
      <c r="J97" t="s">
        <v>68</v>
      </c>
      <c r="K97">
        <v>161</v>
      </c>
      <c r="L97">
        <v>761.43</v>
      </c>
      <c r="M97">
        <v>2561.1799999999998</v>
      </c>
    </row>
    <row r="98" spans="1:13" x14ac:dyDescent="0.35">
      <c r="A98">
        <v>42</v>
      </c>
      <c r="B98" t="s">
        <v>96</v>
      </c>
      <c r="C98" t="s">
        <v>4</v>
      </c>
      <c r="D98" t="s">
        <v>33</v>
      </c>
      <c r="E98">
        <v>72</v>
      </c>
      <c r="F98">
        <v>54528</v>
      </c>
      <c r="G98">
        <v>72</v>
      </c>
      <c r="H98">
        <v>72</v>
      </c>
      <c r="I98">
        <v>23</v>
      </c>
      <c r="J98" t="s">
        <v>68</v>
      </c>
      <c r="K98">
        <v>161</v>
      </c>
      <c r="L98">
        <v>757.33</v>
      </c>
      <c r="M98">
        <v>2370.7800000000002</v>
      </c>
    </row>
    <row r="99" spans="1:13" x14ac:dyDescent="0.35">
      <c r="A99">
        <v>41</v>
      </c>
      <c r="B99" t="s">
        <v>97</v>
      </c>
      <c r="C99" t="s">
        <v>4</v>
      </c>
      <c r="D99" t="s">
        <v>33</v>
      </c>
      <c r="E99">
        <v>65</v>
      </c>
      <c r="F99">
        <v>49047</v>
      </c>
      <c r="G99">
        <v>65</v>
      </c>
      <c r="H99">
        <v>65</v>
      </c>
      <c r="I99">
        <v>23</v>
      </c>
      <c r="J99" t="s">
        <v>68</v>
      </c>
      <c r="K99">
        <v>161</v>
      </c>
      <c r="L99">
        <v>754.57</v>
      </c>
      <c r="M99">
        <v>2132.48</v>
      </c>
    </row>
    <row r="100" spans="1:13" x14ac:dyDescent="0.35">
      <c r="A100">
        <v>148</v>
      </c>
      <c r="B100" t="s">
        <v>101</v>
      </c>
      <c r="C100" t="s">
        <v>4</v>
      </c>
      <c r="D100" t="s">
        <v>45</v>
      </c>
      <c r="E100">
        <v>64</v>
      </c>
      <c r="F100">
        <v>47488</v>
      </c>
      <c r="G100">
        <v>64</v>
      </c>
      <c r="H100">
        <v>64</v>
      </c>
      <c r="I100">
        <v>10</v>
      </c>
      <c r="J100" t="s">
        <v>68</v>
      </c>
      <c r="K100">
        <v>149</v>
      </c>
      <c r="L100">
        <v>742</v>
      </c>
      <c r="M100">
        <v>4748.8</v>
      </c>
    </row>
    <row r="101" spans="1:13" x14ac:dyDescent="0.35">
      <c r="A101">
        <v>36</v>
      </c>
      <c r="B101" t="s">
        <v>100</v>
      </c>
      <c r="C101" t="s">
        <v>4</v>
      </c>
      <c r="D101" t="s">
        <v>33</v>
      </c>
      <c r="E101">
        <v>63</v>
      </c>
      <c r="F101">
        <v>47565</v>
      </c>
      <c r="G101">
        <v>63</v>
      </c>
      <c r="H101">
        <v>63</v>
      </c>
      <c r="I101">
        <v>23</v>
      </c>
      <c r="J101" t="s">
        <v>68</v>
      </c>
      <c r="K101">
        <v>161</v>
      </c>
      <c r="L101">
        <v>755</v>
      </c>
      <c r="M101">
        <v>2068.04</v>
      </c>
    </row>
    <row r="102" spans="1:13" x14ac:dyDescent="0.35">
      <c r="A102">
        <v>44</v>
      </c>
      <c r="B102" t="s">
        <v>104</v>
      </c>
      <c r="C102" t="s">
        <v>4</v>
      </c>
      <c r="D102" t="s">
        <v>33</v>
      </c>
      <c r="E102">
        <v>61</v>
      </c>
      <c r="F102">
        <v>46083</v>
      </c>
      <c r="G102">
        <v>61</v>
      </c>
      <c r="H102">
        <v>61</v>
      </c>
      <c r="I102">
        <v>23</v>
      </c>
      <c r="J102" t="s">
        <v>68</v>
      </c>
      <c r="K102">
        <v>161</v>
      </c>
      <c r="L102">
        <v>755.46</v>
      </c>
      <c r="M102">
        <v>2003.61</v>
      </c>
    </row>
    <row r="103" spans="1:13" x14ac:dyDescent="0.35">
      <c r="A103">
        <v>5</v>
      </c>
      <c r="B103" t="s">
        <v>66</v>
      </c>
      <c r="C103" t="s">
        <v>4</v>
      </c>
      <c r="D103" t="s">
        <v>25</v>
      </c>
      <c r="E103">
        <v>60</v>
      </c>
      <c r="F103">
        <v>202500</v>
      </c>
      <c r="G103">
        <v>60</v>
      </c>
      <c r="H103">
        <v>60</v>
      </c>
      <c r="I103">
        <v>11</v>
      </c>
      <c r="J103" t="s">
        <v>39</v>
      </c>
      <c r="K103">
        <v>173</v>
      </c>
      <c r="L103">
        <v>3375</v>
      </c>
      <c r="M103">
        <v>18409.09</v>
      </c>
    </row>
    <row r="104" spans="1:13" x14ac:dyDescent="0.35">
      <c r="A104">
        <v>37</v>
      </c>
      <c r="B104" t="s">
        <v>105</v>
      </c>
      <c r="C104" t="s">
        <v>4</v>
      </c>
      <c r="D104" t="s">
        <v>33</v>
      </c>
      <c r="E104">
        <v>60</v>
      </c>
      <c r="F104">
        <v>45552</v>
      </c>
      <c r="G104">
        <v>60</v>
      </c>
      <c r="H104">
        <v>60</v>
      </c>
      <c r="I104">
        <v>20</v>
      </c>
      <c r="J104" t="s">
        <v>68</v>
      </c>
      <c r="K104">
        <v>161</v>
      </c>
      <c r="L104">
        <v>759.2</v>
      </c>
      <c r="M104">
        <v>2277.6</v>
      </c>
    </row>
    <row r="105" spans="1:13" x14ac:dyDescent="0.35">
      <c r="A105">
        <v>149</v>
      </c>
      <c r="B105" t="s">
        <v>106</v>
      </c>
      <c r="C105" t="s">
        <v>4</v>
      </c>
      <c r="D105" t="s">
        <v>45</v>
      </c>
      <c r="E105">
        <v>59</v>
      </c>
      <c r="F105">
        <v>43778</v>
      </c>
      <c r="G105">
        <v>59</v>
      </c>
      <c r="H105">
        <v>59</v>
      </c>
      <c r="I105">
        <v>10</v>
      </c>
      <c r="J105" t="s">
        <v>68</v>
      </c>
      <c r="K105">
        <v>149</v>
      </c>
      <c r="L105">
        <v>742</v>
      </c>
      <c r="M105">
        <v>4377.8</v>
      </c>
    </row>
    <row r="106" spans="1:13" x14ac:dyDescent="0.35">
      <c r="A106">
        <v>150</v>
      </c>
      <c r="B106" t="s">
        <v>107</v>
      </c>
      <c r="C106" t="s">
        <v>4</v>
      </c>
      <c r="D106" t="s">
        <v>45</v>
      </c>
      <c r="E106">
        <v>59</v>
      </c>
      <c r="F106">
        <v>43778</v>
      </c>
      <c r="G106">
        <v>59</v>
      </c>
      <c r="H106">
        <v>59</v>
      </c>
      <c r="I106">
        <v>11</v>
      </c>
      <c r="J106" t="s">
        <v>68</v>
      </c>
      <c r="K106">
        <v>149</v>
      </c>
      <c r="L106">
        <v>742</v>
      </c>
      <c r="M106">
        <v>3979.82</v>
      </c>
    </row>
    <row r="107" spans="1:13" x14ac:dyDescent="0.35">
      <c r="A107">
        <v>7</v>
      </c>
      <c r="B107" t="s">
        <v>67</v>
      </c>
      <c r="C107" t="s">
        <v>4</v>
      </c>
      <c r="D107" t="s">
        <v>25</v>
      </c>
      <c r="E107">
        <v>58</v>
      </c>
      <c r="F107">
        <v>197200</v>
      </c>
      <c r="G107">
        <v>58</v>
      </c>
      <c r="H107">
        <v>58</v>
      </c>
      <c r="I107">
        <v>11</v>
      </c>
      <c r="J107" t="s">
        <v>68</v>
      </c>
      <c r="K107">
        <v>173</v>
      </c>
      <c r="L107">
        <v>3400</v>
      </c>
      <c r="M107">
        <v>17927.27</v>
      </c>
    </row>
    <row r="108" spans="1:13" x14ac:dyDescent="0.35">
      <c r="A108">
        <v>108</v>
      </c>
      <c r="B108" t="s">
        <v>123</v>
      </c>
      <c r="C108" t="s">
        <v>4</v>
      </c>
      <c r="D108" t="s">
        <v>25</v>
      </c>
      <c r="E108">
        <v>58</v>
      </c>
      <c r="F108">
        <v>31320</v>
      </c>
      <c r="G108">
        <v>58</v>
      </c>
      <c r="H108">
        <v>58</v>
      </c>
      <c r="I108">
        <v>11</v>
      </c>
      <c r="J108" t="s">
        <v>68</v>
      </c>
      <c r="K108">
        <v>149</v>
      </c>
      <c r="L108">
        <v>540</v>
      </c>
      <c r="M108">
        <v>2847.27</v>
      </c>
    </row>
    <row r="109" spans="1:13" x14ac:dyDescent="0.35">
      <c r="A109">
        <v>6</v>
      </c>
      <c r="B109" t="s">
        <v>71</v>
      </c>
      <c r="C109" t="s">
        <v>4</v>
      </c>
      <c r="D109" t="s">
        <v>25</v>
      </c>
      <c r="E109">
        <v>57</v>
      </c>
      <c r="F109">
        <v>192375</v>
      </c>
      <c r="G109">
        <v>57</v>
      </c>
      <c r="H109">
        <v>57</v>
      </c>
      <c r="I109">
        <v>11</v>
      </c>
      <c r="J109" t="s">
        <v>68</v>
      </c>
      <c r="K109">
        <v>173</v>
      </c>
      <c r="L109">
        <v>3375</v>
      </c>
      <c r="M109">
        <v>17488.64</v>
      </c>
    </row>
    <row r="110" spans="1:13" x14ac:dyDescent="0.35">
      <c r="A110">
        <v>147</v>
      </c>
      <c r="B110" t="s">
        <v>108</v>
      </c>
      <c r="C110" t="s">
        <v>4</v>
      </c>
      <c r="D110" t="s">
        <v>45</v>
      </c>
      <c r="E110">
        <v>57</v>
      </c>
      <c r="F110">
        <v>42294</v>
      </c>
      <c r="G110">
        <v>57</v>
      </c>
      <c r="H110">
        <v>57</v>
      </c>
      <c r="I110">
        <v>11</v>
      </c>
      <c r="J110" t="s">
        <v>68</v>
      </c>
      <c r="K110">
        <v>149</v>
      </c>
      <c r="L110">
        <v>742</v>
      </c>
      <c r="M110">
        <v>3844.91</v>
      </c>
    </row>
    <row r="111" spans="1:13" x14ac:dyDescent="0.35">
      <c r="A111">
        <v>109</v>
      </c>
      <c r="B111" t="s">
        <v>124</v>
      </c>
      <c r="C111" t="s">
        <v>4</v>
      </c>
      <c r="D111" t="s">
        <v>25</v>
      </c>
      <c r="E111">
        <v>56</v>
      </c>
      <c r="F111">
        <v>30240</v>
      </c>
      <c r="G111">
        <v>56</v>
      </c>
      <c r="H111">
        <v>56</v>
      </c>
      <c r="I111">
        <v>11</v>
      </c>
      <c r="J111" t="s">
        <v>68</v>
      </c>
      <c r="K111">
        <v>149</v>
      </c>
      <c r="L111">
        <v>540</v>
      </c>
      <c r="M111">
        <v>2749.09</v>
      </c>
    </row>
    <row r="112" spans="1:13" x14ac:dyDescent="0.35">
      <c r="A112">
        <v>146</v>
      </c>
      <c r="B112" t="s">
        <v>109</v>
      </c>
      <c r="C112" t="s">
        <v>4</v>
      </c>
      <c r="D112" t="s">
        <v>45</v>
      </c>
      <c r="E112">
        <v>55</v>
      </c>
      <c r="F112">
        <v>40810</v>
      </c>
      <c r="G112">
        <v>55</v>
      </c>
      <c r="H112">
        <v>55</v>
      </c>
      <c r="I112">
        <v>11</v>
      </c>
      <c r="J112" t="s">
        <v>68</v>
      </c>
      <c r="K112">
        <v>149</v>
      </c>
      <c r="L112">
        <v>742</v>
      </c>
      <c r="M112">
        <v>3710</v>
      </c>
    </row>
    <row r="113" spans="1:13" x14ac:dyDescent="0.35">
      <c r="A113">
        <v>46</v>
      </c>
      <c r="B113" t="s">
        <v>112</v>
      </c>
      <c r="C113" t="s">
        <v>4</v>
      </c>
      <c r="D113" t="s">
        <v>33</v>
      </c>
      <c r="E113">
        <v>53</v>
      </c>
      <c r="F113">
        <v>40071</v>
      </c>
      <c r="G113">
        <v>53</v>
      </c>
      <c r="H113">
        <v>53</v>
      </c>
      <c r="I113">
        <v>22</v>
      </c>
      <c r="J113" t="s">
        <v>68</v>
      </c>
      <c r="K113">
        <v>161</v>
      </c>
      <c r="L113">
        <v>756.06</v>
      </c>
      <c r="M113">
        <v>1821.41</v>
      </c>
    </row>
    <row r="114" spans="1:13" x14ac:dyDescent="0.35">
      <c r="A114">
        <v>144</v>
      </c>
      <c r="B114" t="s">
        <v>117</v>
      </c>
      <c r="C114" t="s">
        <v>4</v>
      </c>
      <c r="D114" t="s">
        <v>45</v>
      </c>
      <c r="E114">
        <v>53</v>
      </c>
      <c r="F114">
        <v>39326</v>
      </c>
      <c r="G114">
        <v>53</v>
      </c>
      <c r="H114">
        <v>53</v>
      </c>
      <c r="I114">
        <v>11</v>
      </c>
      <c r="J114" t="s">
        <v>68</v>
      </c>
      <c r="K114">
        <v>149</v>
      </c>
      <c r="L114">
        <v>742</v>
      </c>
      <c r="M114">
        <v>3575.09</v>
      </c>
    </row>
    <row r="115" spans="1:13" x14ac:dyDescent="0.35">
      <c r="A115">
        <v>153</v>
      </c>
      <c r="B115" t="s">
        <v>118</v>
      </c>
      <c r="C115" t="s">
        <v>4</v>
      </c>
      <c r="D115" t="s">
        <v>45</v>
      </c>
      <c r="E115">
        <v>50</v>
      </c>
      <c r="F115">
        <v>37100</v>
      </c>
      <c r="G115">
        <v>50</v>
      </c>
      <c r="H115">
        <v>50</v>
      </c>
      <c r="I115">
        <v>11</v>
      </c>
      <c r="J115" t="s">
        <v>68</v>
      </c>
      <c r="K115">
        <v>149</v>
      </c>
      <c r="L115">
        <v>742</v>
      </c>
      <c r="M115">
        <v>3372.73</v>
      </c>
    </row>
    <row r="116" spans="1:13" x14ac:dyDescent="0.35">
      <c r="A116">
        <v>114</v>
      </c>
      <c r="B116" t="s">
        <v>126</v>
      </c>
      <c r="C116" t="s">
        <v>4</v>
      </c>
      <c r="D116" t="s">
        <v>25</v>
      </c>
      <c r="E116">
        <v>50</v>
      </c>
      <c r="F116">
        <v>28250</v>
      </c>
      <c r="G116">
        <v>50</v>
      </c>
      <c r="H116">
        <v>50</v>
      </c>
      <c r="I116">
        <v>11</v>
      </c>
      <c r="J116" t="s">
        <v>68</v>
      </c>
      <c r="K116">
        <v>149</v>
      </c>
      <c r="L116">
        <v>565</v>
      </c>
      <c r="M116">
        <v>2568.1799999999998</v>
      </c>
    </row>
    <row r="117" spans="1:13" x14ac:dyDescent="0.35">
      <c r="A117">
        <v>9</v>
      </c>
      <c r="B117" t="s">
        <v>73</v>
      </c>
      <c r="C117" t="s">
        <v>4</v>
      </c>
      <c r="D117" t="s">
        <v>25</v>
      </c>
      <c r="E117">
        <v>49</v>
      </c>
      <c r="F117">
        <v>166600</v>
      </c>
      <c r="G117">
        <v>49</v>
      </c>
      <c r="H117">
        <v>49</v>
      </c>
      <c r="I117">
        <v>11</v>
      </c>
      <c r="J117" t="s">
        <v>68</v>
      </c>
      <c r="K117">
        <v>173</v>
      </c>
      <c r="L117">
        <v>3400</v>
      </c>
      <c r="M117">
        <v>15145.45</v>
      </c>
    </row>
    <row r="118" spans="1:13" x14ac:dyDescent="0.35">
      <c r="A118">
        <v>3</v>
      </c>
      <c r="B118" t="s">
        <v>74</v>
      </c>
      <c r="C118" t="s">
        <v>4</v>
      </c>
      <c r="D118" t="s">
        <v>25</v>
      </c>
      <c r="E118">
        <v>49</v>
      </c>
      <c r="F118">
        <v>165375</v>
      </c>
      <c r="G118">
        <v>49</v>
      </c>
      <c r="H118">
        <v>49</v>
      </c>
      <c r="I118">
        <v>11</v>
      </c>
      <c r="J118" t="s">
        <v>68</v>
      </c>
      <c r="K118">
        <v>173</v>
      </c>
      <c r="L118">
        <v>3375</v>
      </c>
      <c r="M118">
        <v>15034.09</v>
      </c>
    </row>
    <row r="119" spans="1:13" x14ac:dyDescent="0.35">
      <c r="A119">
        <v>107</v>
      </c>
      <c r="B119" t="s">
        <v>129</v>
      </c>
      <c r="C119" t="s">
        <v>4</v>
      </c>
      <c r="D119" t="s">
        <v>25</v>
      </c>
      <c r="E119">
        <v>49</v>
      </c>
      <c r="F119">
        <v>26460</v>
      </c>
      <c r="G119">
        <v>49</v>
      </c>
      <c r="H119">
        <v>49</v>
      </c>
      <c r="I119">
        <v>11</v>
      </c>
      <c r="J119" t="s">
        <v>68</v>
      </c>
      <c r="K119">
        <v>149</v>
      </c>
      <c r="L119">
        <v>540</v>
      </c>
      <c r="M119">
        <v>2405.4499999999998</v>
      </c>
    </row>
    <row r="120" spans="1:13" x14ac:dyDescent="0.35">
      <c r="A120">
        <v>145</v>
      </c>
      <c r="B120" t="s">
        <v>119</v>
      </c>
      <c r="C120" t="s">
        <v>4</v>
      </c>
      <c r="D120" t="s">
        <v>45</v>
      </c>
      <c r="E120">
        <v>48</v>
      </c>
      <c r="F120">
        <v>35616</v>
      </c>
      <c r="G120">
        <v>48</v>
      </c>
      <c r="H120">
        <v>48</v>
      </c>
      <c r="I120">
        <v>11</v>
      </c>
      <c r="J120" t="s">
        <v>68</v>
      </c>
      <c r="K120">
        <v>149</v>
      </c>
      <c r="L120">
        <v>742</v>
      </c>
      <c r="M120">
        <v>3237.82</v>
      </c>
    </row>
    <row r="121" spans="1:13" x14ac:dyDescent="0.35">
      <c r="A121">
        <v>151</v>
      </c>
      <c r="B121" t="s">
        <v>120</v>
      </c>
      <c r="C121" t="s">
        <v>4</v>
      </c>
      <c r="D121" t="s">
        <v>45</v>
      </c>
      <c r="E121">
        <v>48</v>
      </c>
      <c r="F121">
        <v>35616</v>
      </c>
      <c r="G121">
        <v>48</v>
      </c>
      <c r="H121">
        <v>48</v>
      </c>
      <c r="I121">
        <v>10</v>
      </c>
      <c r="J121" t="s">
        <v>68</v>
      </c>
      <c r="K121">
        <v>149</v>
      </c>
      <c r="L121">
        <v>742</v>
      </c>
      <c r="M121">
        <v>3561.6</v>
      </c>
    </row>
    <row r="122" spans="1:13" x14ac:dyDescent="0.35">
      <c r="A122">
        <v>115</v>
      </c>
      <c r="B122" t="s">
        <v>127</v>
      </c>
      <c r="C122" t="s">
        <v>4</v>
      </c>
      <c r="D122" t="s">
        <v>25</v>
      </c>
      <c r="E122">
        <v>48</v>
      </c>
      <c r="F122">
        <v>27120</v>
      </c>
      <c r="G122">
        <v>48</v>
      </c>
      <c r="H122">
        <v>48</v>
      </c>
      <c r="I122">
        <v>11</v>
      </c>
      <c r="J122" t="s">
        <v>68</v>
      </c>
      <c r="K122">
        <v>149</v>
      </c>
      <c r="L122">
        <v>565</v>
      </c>
      <c r="M122">
        <v>2465.4499999999998</v>
      </c>
    </row>
    <row r="123" spans="1:13" x14ac:dyDescent="0.35">
      <c r="A123">
        <v>106</v>
      </c>
      <c r="B123" t="s">
        <v>130</v>
      </c>
      <c r="C123" t="s">
        <v>4</v>
      </c>
      <c r="D123" t="s">
        <v>25</v>
      </c>
      <c r="E123">
        <v>48</v>
      </c>
      <c r="F123">
        <v>25920</v>
      </c>
      <c r="G123">
        <v>48</v>
      </c>
      <c r="H123">
        <v>48</v>
      </c>
      <c r="I123">
        <v>11</v>
      </c>
      <c r="J123" t="s">
        <v>68</v>
      </c>
      <c r="K123">
        <v>149</v>
      </c>
      <c r="L123">
        <v>540</v>
      </c>
      <c r="M123">
        <v>2356.36</v>
      </c>
    </row>
    <row r="124" spans="1:13" x14ac:dyDescent="0.35">
      <c r="A124">
        <v>152</v>
      </c>
      <c r="B124" t="s">
        <v>121</v>
      </c>
      <c r="C124" t="s">
        <v>4</v>
      </c>
      <c r="D124" t="s">
        <v>45</v>
      </c>
      <c r="E124">
        <v>47</v>
      </c>
      <c r="F124">
        <v>34874</v>
      </c>
      <c r="G124">
        <v>47</v>
      </c>
      <c r="H124">
        <v>47</v>
      </c>
      <c r="I124">
        <v>11</v>
      </c>
      <c r="J124" t="s">
        <v>68</v>
      </c>
      <c r="K124">
        <v>149</v>
      </c>
      <c r="L124">
        <v>742</v>
      </c>
      <c r="M124">
        <v>3170.36</v>
      </c>
    </row>
    <row r="125" spans="1:13" x14ac:dyDescent="0.35">
      <c r="A125">
        <v>4</v>
      </c>
      <c r="B125" t="s">
        <v>75</v>
      </c>
      <c r="C125" t="s">
        <v>4</v>
      </c>
      <c r="D125" t="s">
        <v>25</v>
      </c>
      <c r="E125">
        <v>45</v>
      </c>
      <c r="F125">
        <v>151875</v>
      </c>
      <c r="G125">
        <v>45</v>
      </c>
      <c r="H125">
        <v>45</v>
      </c>
      <c r="I125">
        <v>11</v>
      </c>
      <c r="J125" t="s">
        <v>68</v>
      </c>
      <c r="K125">
        <v>173</v>
      </c>
      <c r="L125">
        <v>3375</v>
      </c>
      <c r="M125">
        <v>13806.82</v>
      </c>
    </row>
    <row r="126" spans="1:13" x14ac:dyDescent="0.35">
      <c r="A126">
        <v>111</v>
      </c>
      <c r="B126" t="s">
        <v>131</v>
      </c>
      <c r="C126" t="s">
        <v>4</v>
      </c>
      <c r="D126" t="s">
        <v>25</v>
      </c>
      <c r="E126">
        <v>45</v>
      </c>
      <c r="F126">
        <v>25425</v>
      </c>
      <c r="G126">
        <v>45</v>
      </c>
      <c r="H126">
        <v>45</v>
      </c>
      <c r="I126">
        <v>11</v>
      </c>
      <c r="J126" t="s">
        <v>68</v>
      </c>
      <c r="K126">
        <v>149</v>
      </c>
      <c r="L126">
        <v>565</v>
      </c>
      <c r="M126">
        <v>2311.36</v>
      </c>
    </row>
    <row r="127" spans="1:13" x14ac:dyDescent="0.35">
      <c r="A127">
        <v>112</v>
      </c>
      <c r="B127" t="s">
        <v>132</v>
      </c>
      <c r="C127" t="s">
        <v>4</v>
      </c>
      <c r="D127" t="s">
        <v>25</v>
      </c>
      <c r="E127">
        <v>45</v>
      </c>
      <c r="F127">
        <v>25425</v>
      </c>
      <c r="G127">
        <v>45</v>
      </c>
      <c r="H127">
        <v>45</v>
      </c>
      <c r="I127">
        <v>11</v>
      </c>
      <c r="J127" t="s">
        <v>68</v>
      </c>
      <c r="K127">
        <v>149</v>
      </c>
      <c r="L127">
        <v>565</v>
      </c>
      <c r="M127">
        <v>2311.36</v>
      </c>
    </row>
    <row r="128" spans="1:13" x14ac:dyDescent="0.35">
      <c r="A128">
        <v>8</v>
      </c>
      <c r="B128" t="s">
        <v>76</v>
      </c>
      <c r="C128" t="s">
        <v>4</v>
      </c>
      <c r="D128" t="s">
        <v>25</v>
      </c>
      <c r="E128">
        <v>42</v>
      </c>
      <c r="F128">
        <v>142800</v>
      </c>
      <c r="G128">
        <v>42</v>
      </c>
      <c r="H128">
        <v>42</v>
      </c>
      <c r="I128">
        <v>11</v>
      </c>
      <c r="J128" t="s">
        <v>68</v>
      </c>
      <c r="K128">
        <v>173</v>
      </c>
      <c r="L128">
        <v>3400</v>
      </c>
      <c r="M128">
        <v>12981.82</v>
      </c>
    </row>
    <row r="129" spans="1:13" x14ac:dyDescent="0.35">
      <c r="A129">
        <v>110</v>
      </c>
      <c r="B129" t="s">
        <v>139</v>
      </c>
      <c r="C129" t="s">
        <v>4</v>
      </c>
      <c r="D129" t="s">
        <v>25</v>
      </c>
      <c r="E129">
        <v>41</v>
      </c>
      <c r="F129">
        <v>22140</v>
      </c>
      <c r="G129">
        <v>41</v>
      </c>
      <c r="H129">
        <v>41</v>
      </c>
      <c r="I129">
        <v>11</v>
      </c>
      <c r="J129" t="s">
        <v>68</v>
      </c>
      <c r="K129">
        <v>149</v>
      </c>
      <c r="L129">
        <v>540</v>
      </c>
      <c r="M129">
        <v>2012.73</v>
      </c>
    </row>
    <row r="130" spans="1:13" x14ac:dyDescent="0.35">
      <c r="A130">
        <v>113</v>
      </c>
      <c r="B130" t="s">
        <v>142</v>
      </c>
      <c r="C130" t="s">
        <v>4</v>
      </c>
      <c r="D130" t="s">
        <v>25</v>
      </c>
      <c r="E130">
        <v>39</v>
      </c>
      <c r="F130">
        <v>22035</v>
      </c>
      <c r="G130">
        <v>39</v>
      </c>
      <c r="H130">
        <v>39</v>
      </c>
      <c r="I130">
        <v>11</v>
      </c>
      <c r="J130" t="s">
        <v>68</v>
      </c>
      <c r="K130">
        <v>149</v>
      </c>
      <c r="L130">
        <v>565</v>
      </c>
      <c r="M130">
        <v>2003.18</v>
      </c>
    </row>
    <row r="131" spans="1:13" x14ac:dyDescent="0.35">
      <c r="A131">
        <v>10</v>
      </c>
      <c r="B131" t="s">
        <v>78</v>
      </c>
      <c r="C131" t="s">
        <v>4</v>
      </c>
      <c r="D131" t="s">
        <v>25</v>
      </c>
      <c r="E131">
        <v>36</v>
      </c>
      <c r="F131">
        <v>122400</v>
      </c>
      <c r="G131">
        <v>36</v>
      </c>
      <c r="H131">
        <v>36</v>
      </c>
      <c r="I131">
        <v>11</v>
      </c>
      <c r="J131" t="s">
        <v>68</v>
      </c>
      <c r="K131">
        <v>173</v>
      </c>
      <c r="L131">
        <v>3400</v>
      </c>
      <c r="M131">
        <v>11127.27</v>
      </c>
    </row>
  </sheetData>
  <conditionalFormatting sqref="F2:F131">
    <cfRule type="cellIs" dxfId="2" priority="1" operator="greaterThan">
      <formula>800000</formula>
    </cfRule>
    <cfRule type="cellIs" dxfId="1" priority="2" operator="between">
      <formula>200000</formula>
      <formula>800000</formula>
    </cfRule>
    <cfRule type="cellIs" dxfId="0" priority="3" operator="lessThan">
      <formula>200000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79834-5150-45F3-B53A-326B8ADD45C7}">
  <dimension ref="A1:C10"/>
  <sheetViews>
    <sheetView workbookViewId="0">
      <selection activeCell="E18" sqref="E18"/>
    </sheetView>
  </sheetViews>
  <sheetFormatPr defaultRowHeight="14.5" x14ac:dyDescent="0.35"/>
  <cols>
    <col min="1" max="1" width="18.08984375" bestFit="1" customWidth="1"/>
    <col min="2" max="2" width="18" bestFit="1" customWidth="1"/>
    <col min="3" max="3" width="28.453125" bestFit="1" customWidth="1"/>
  </cols>
  <sheetData>
    <row r="1" spans="1:3" x14ac:dyDescent="0.35">
      <c r="A1" s="24" t="s">
        <v>186</v>
      </c>
      <c r="B1" s="25"/>
    </row>
    <row r="2" spans="1:3" ht="15" thickBot="1" x14ac:dyDescent="0.4"/>
    <row r="3" spans="1:3" ht="15" thickBot="1" x14ac:dyDescent="0.4">
      <c r="A3" s="8" t="s">
        <v>187</v>
      </c>
      <c r="B3" s="9" t="s">
        <v>149</v>
      </c>
      <c r="C3" s="10" t="s">
        <v>191</v>
      </c>
    </row>
    <row r="4" spans="1:3" x14ac:dyDescent="0.35">
      <c r="A4" s="8"/>
    </row>
    <row r="5" spans="1:3" x14ac:dyDescent="0.35">
      <c r="A5" s="8" t="s">
        <v>188</v>
      </c>
      <c r="B5" t="str">
        <f>_xlfn.XLOOKUP(B3,product_report[product_name], product_report[category])</f>
        <v>Accessories</v>
      </c>
    </row>
    <row r="6" spans="1:3" x14ac:dyDescent="0.35">
      <c r="A6" s="8" t="s">
        <v>189</v>
      </c>
      <c r="B6" t="str">
        <f>_xlfn.XLOOKUP(B3,product_report[product_name],product_report[subcategory])</f>
        <v>Bottles and Cages</v>
      </c>
    </row>
    <row r="7" spans="1:3" x14ac:dyDescent="0.35">
      <c r="A7" s="8" t="s">
        <v>190</v>
      </c>
      <c r="B7" t="str">
        <f>_xlfn.XLOOKUP(B3,product_report[product_name],product_report[product_segment])</f>
        <v>Low Performer</v>
      </c>
    </row>
    <row r="8" spans="1:3" x14ac:dyDescent="0.35">
      <c r="A8" s="8" t="s">
        <v>176</v>
      </c>
      <c r="B8">
        <f>_xlfn.XLOOKUP(B3,product_report[product_name],product_report[total_revenue])</f>
        <v>21245</v>
      </c>
    </row>
    <row r="9" spans="1:3" x14ac:dyDescent="0.35">
      <c r="A9" s="8" t="s">
        <v>175</v>
      </c>
      <c r="B9">
        <f>_xlfn.XLOOKUP(B3,product_report[product_name],product_report[total_orders])</f>
        <v>4244</v>
      </c>
    </row>
    <row r="10" spans="1:3" x14ac:dyDescent="0.35">
      <c r="A10" s="8" t="s">
        <v>174</v>
      </c>
      <c r="B10">
        <f>_xlfn.XLOOKUP(B3,product_report[product_name],product_report[avg_order_revenue])</f>
        <v>5.01</v>
      </c>
    </row>
  </sheetData>
  <mergeCells count="1">
    <mergeCell ref="A1:B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59953BE-5F5F-494B-B74B-0FEF35B1D232}">
          <x14:formula1>
            <xm:f>'product-report'!$B$2:$B$131</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10A2-DF5F-4C30-9F8C-1E7195CD00F7}">
  <dimension ref="A1:D39"/>
  <sheetViews>
    <sheetView workbookViewId="0">
      <selection sqref="A1:B1048576"/>
    </sheetView>
  </sheetViews>
  <sheetFormatPr defaultRowHeight="14.5" x14ac:dyDescent="0.35"/>
  <cols>
    <col min="1" max="1" width="13.36328125" bestFit="1" customWidth="1"/>
    <col min="2" max="2" width="12.1796875" bestFit="1" customWidth="1"/>
    <col min="3" max="3" width="15.26953125" bestFit="1" customWidth="1"/>
    <col min="4" max="4" width="16.90625" bestFit="1" customWidth="1"/>
    <col min="5" max="5" width="8.7265625" customWidth="1"/>
  </cols>
  <sheetData>
    <row r="1" spans="1:4" x14ac:dyDescent="0.35">
      <c r="A1" t="s">
        <v>12</v>
      </c>
      <c r="B1" t="s">
        <v>1</v>
      </c>
      <c r="C1" t="s">
        <v>13</v>
      </c>
      <c r="D1" t="s">
        <v>8</v>
      </c>
    </row>
    <row r="2" spans="1:4" x14ac:dyDescent="0.35">
      <c r="A2" s="2">
        <v>40513</v>
      </c>
      <c r="B2">
        <v>43419</v>
      </c>
      <c r="C2">
        <v>14</v>
      </c>
      <c r="D2">
        <v>14</v>
      </c>
    </row>
    <row r="3" spans="1:4" x14ac:dyDescent="0.35">
      <c r="A3" s="2">
        <v>40544</v>
      </c>
      <c r="B3">
        <v>469795</v>
      </c>
      <c r="C3">
        <v>144</v>
      </c>
      <c r="D3">
        <v>144</v>
      </c>
    </row>
    <row r="4" spans="1:4" x14ac:dyDescent="0.35">
      <c r="A4" s="2">
        <v>40575</v>
      </c>
      <c r="B4">
        <v>466307</v>
      </c>
      <c r="C4">
        <v>144</v>
      </c>
      <c r="D4">
        <v>144</v>
      </c>
    </row>
    <row r="5" spans="1:4" x14ac:dyDescent="0.35">
      <c r="A5" s="2">
        <v>40603</v>
      </c>
      <c r="B5">
        <v>485165</v>
      </c>
      <c r="C5">
        <v>150</v>
      </c>
      <c r="D5">
        <v>150</v>
      </c>
    </row>
    <row r="6" spans="1:4" x14ac:dyDescent="0.35">
      <c r="A6" s="2">
        <v>40634</v>
      </c>
      <c r="B6">
        <v>502042</v>
      </c>
      <c r="C6">
        <v>157</v>
      </c>
      <c r="D6">
        <v>157</v>
      </c>
    </row>
    <row r="7" spans="1:4" x14ac:dyDescent="0.35">
      <c r="A7" s="2">
        <v>40664</v>
      </c>
      <c r="B7">
        <v>561647</v>
      </c>
      <c r="C7">
        <v>174</v>
      </c>
      <c r="D7">
        <v>174</v>
      </c>
    </row>
    <row r="8" spans="1:4" x14ac:dyDescent="0.35">
      <c r="A8" s="2">
        <v>40695</v>
      </c>
      <c r="B8">
        <v>737793</v>
      </c>
      <c r="C8">
        <v>230</v>
      </c>
      <c r="D8">
        <v>230</v>
      </c>
    </row>
    <row r="9" spans="1:4" x14ac:dyDescent="0.35">
      <c r="A9" s="2">
        <v>40725</v>
      </c>
      <c r="B9">
        <v>596710</v>
      </c>
      <c r="C9">
        <v>188</v>
      </c>
      <c r="D9">
        <v>188</v>
      </c>
    </row>
    <row r="10" spans="1:4" x14ac:dyDescent="0.35">
      <c r="A10" s="2">
        <v>40756</v>
      </c>
      <c r="B10">
        <v>614516</v>
      </c>
      <c r="C10">
        <v>193</v>
      </c>
      <c r="D10">
        <v>193</v>
      </c>
    </row>
    <row r="11" spans="1:4" x14ac:dyDescent="0.35">
      <c r="A11" s="2">
        <v>40787</v>
      </c>
      <c r="B11">
        <v>603047</v>
      </c>
      <c r="C11">
        <v>185</v>
      </c>
      <c r="D11">
        <v>185</v>
      </c>
    </row>
    <row r="12" spans="1:4" x14ac:dyDescent="0.35">
      <c r="A12" s="2">
        <v>40817</v>
      </c>
      <c r="B12">
        <v>708164</v>
      </c>
      <c r="C12">
        <v>221</v>
      </c>
      <c r="D12">
        <v>221</v>
      </c>
    </row>
    <row r="13" spans="1:4" x14ac:dyDescent="0.35">
      <c r="A13" s="2">
        <v>40848</v>
      </c>
      <c r="B13">
        <v>660507</v>
      </c>
      <c r="C13">
        <v>208</v>
      </c>
      <c r="D13">
        <v>208</v>
      </c>
    </row>
    <row r="14" spans="1:4" x14ac:dyDescent="0.35">
      <c r="A14" s="2">
        <v>40878</v>
      </c>
      <c r="B14">
        <v>669395</v>
      </c>
      <c r="C14">
        <v>222</v>
      </c>
      <c r="D14">
        <v>222</v>
      </c>
    </row>
    <row r="15" spans="1:4" x14ac:dyDescent="0.35">
      <c r="A15" s="2">
        <v>40909</v>
      </c>
      <c r="B15">
        <v>495363</v>
      </c>
      <c r="C15">
        <v>252</v>
      </c>
      <c r="D15">
        <v>252</v>
      </c>
    </row>
    <row r="16" spans="1:4" x14ac:dyDescent="0.35">
      <c r="A16" s="2">
        <v>40940</v>
      </c>
      <c r="B16">
        <v>506992</v>
      </c>
      <c r="C16">
        <v>260</v>
      </c>
      <c r="D16">
        <v>260</v>
      </c>
    </row>
    <row r="17" spans="1:4" x14ac:dyDescent="0.35">
      <c r="A17" s="2">
        <v>40969</v>
      </c>
      <c r="B17">
        <v>373478</v>
      </c>
      <c r="C17">
        <v>212</v>
      </c>
      <c r="D17">
        <v>212</v>
      </c>
    </row>
    <row r="18" spans="1:4" x14ac:dyDescent="0.35">
      <c r="A18" s="2">
        <v>41000</v>
      </c>
      <c r="B18">
        <v>400324</v>
      </c>
      <c r="C18">
        <v>219</v>
      </c>
      <c r="D18">
        <v>219</v>
      </c>
    </row>
    <row r="19" spans="1:4" x14ac:dyDescent="0.35">
      <c r="A19" s="2">
        <v>41030</v>
      </c>
      <c r="B19">
        <v>358866</v>
      </c>
      <c r="C19">
        <v>207</v>
      </c>
      <c r="D19">
        <v>207</v>
      </c>
    </row>
    <row r="20" spans="1:4" x14ac:dyDescent="0.35">
      <c r="A20" s="2">
        <v>41061</v>
      </c>
      <c r="B20">
        <v>555142</v>
      </c>
      <c r="C20">
        <v>318</v>
      </c>
      <c r="D20">
        <v>318</v>
      </c>
    </row>
    <row r="21" spans="1:4" x14ac:dyDescent="0.35">
      <c r="A21" s="2">
        <v>41091</v>
      </c>
      <c r="B21">
        <v>444533</v>
      </c>
      <c r="C21">
        <v>246</v>
      </c>
      <c r="D21">
        <v>246</v>
      </c>
    </row>
    <row r="22" spans="1:4" x14ac:dyDescent="0.35">
      <c r="A22" s="2">
        <v>41122</v>
      </c>
      <c r="B22">
        <v>523887</v>
      </c>
      <c r="C22">
        <v>294</v>
      </c>
      <c r="D22">
        <v>294</v>
      </c>
    </row>
    <row r="23" spans="1:4" x14ac:dyDescent="0.35">
      <c r="A23" s="2">
        <v>41153</v>
      </c>
      <c r="B23">
        <v>486149</v>
      </c>
      <c r="C23">
        <v>269</v>
      </c>
      <c r="D23">
        <v>269</v>
      </c>
    </row>
    <row r="24" spans="1:4" x14ac:dyDescent="0.35">
      <c r="A24" s="2">
        <v>41183</v>
      </c>
      <c r="B24">
        <v>535125</v>
      </c>
      <c r="C24">
        <v>313</v>
      </c>
      <c r="D24">
        <v>313</v>
      </c>
    </row>
    <row r="25" spans="1:4" x14ac:dyDescent="0.35">
      <c r="A25" s="2">
        <v>41214</v>
      </c>
      <c r="B25">
        <v>537918</v>
      </c>
      <c r="C25">
        <v>324</v>
      </c>
      <c r="D25">
        <v>324</v>
      </c>
    </row>
    <row r="26" spans="1:4" x14ac:dyDescent="0.35">
      <c r="A26" s="2">
        <v>41244</v>
      </c>
      <c r="B26">
        <v>624454</v>
      </c>
      <c r="C26">
        <v>483</v>
      </c>
      <c r="D26">
        <v>354</v>
      </c>
    </row>
    <row r="27" spans="1:4" x14ac:dyDescent="0.35">
      <c r="A27" s="2">
        <v>41275</v>
      </c>
      <c r="B27">
        <v>857758</v>
      </c>
      <c r="C27">
        <v>1677</v>
      </c>
      <c r="D27">
        <v>627</v>
      </c>
    </row>
    <row r="28" spans="1:4" x14ac:dyDescent="0.35">
      <c r="A28" s="2">
        <v>41306</v>
      </c>
      <c r="B28">
        <v>771218</v>
      </c>
      <c r="C28">
        <v>3454</v>
      </c>
      <c r="D28">
        <v>1373</v>
      </c>
    </row>
    <row r="29" spans="1:4" x14ac:dyDescent="0.35">
      <c r="A29" s="2">
        <v>41334</v>
      </c>
      <c r="B29">
        <v>1049732</v>
      </c>
      <c r="C29">
        <v>4087</v>
      </c>
      <c r="D29">
        <v>1631</v>
      </c>
    </row>
    <row r="30" spans="1:4" x14ac:dyDescent="0.35">
      <c r="A30" s="2">
        <v>41365</v>
      </c>
      <c r="B30">
        <v>1045860</v>
      </c>
      <c r="C30">
        <v>3979</v>
      </c>
      <c r="D30">
        <v>1564</v>
      </c>
    </row>
    <row r="31" spans="1:4" x14ac:dyDescent="0.35">
      <c r="A31" s="2">
        <v>41395</v>
      </c>
      <c r="B31">
        <v>1284456</v>
      </c>
      <c r="C31">
        <v>4400</v>
      </c>
      <c r="D31">
        <v>1719</v>
      </c>
    </row>
    <row r="32" spans="1:4" x14ac:dyDescent="0.35">
      <c r="A32" s="2">
        <v>41426</v>
      </c>
      <c r="B32">
        <v>1642948</v>
      </c>
      <c r="C32">
        <v>5025</v>
      </c>
      <c r="D32">
        <v>1948</v>
      </c>
    </row>
    <row r="33" spans="1:4" x14ac:dyDescent="0.35">
      <c r="A33" s="2">
        <v>41456</v>
      </c>
      <c r="B33">
        <v>1371595</v>
      </c>
      <c r="C33">
        <v>4673</v>
      </c>
      <c r="D33">
        <v>1796</v>
      </c>
    </row>
    <row r="34" spans="1:4" x14ac:dyDescent="0.35">
      <c r="A34" s="2">
        <v>41487</v>
      </c>
      <c r="B34">
        <v>1545910</v>
      </c>
      <c r="C34">
        <v>4848</v>
      </c>
      <c r="D34">
        <v>1898</v>
      </c>
    </row>
    <row r="35" spans="1:4" x14ac:dyDescent="0.35">
      <c r="A35" s="2">
        <v>41518</v>
      </c>
      <c r="B35">
        <v>1447324</v>
      </c>
      <c r="C35">
        <v>4616</v>
      </c>
      <c r="D35">
        <v>1832</v>
      </c>
    </row>
    <row r="36" spans="1:4" x14ac:dyDescent="0.35">
      <c r="A36" s="2">
        <v>41548</v>
      </c>
      <c r="B36">
        <v>1673261</v>
      </c>
      <c r="C36">
        <v>5304</v>
      </c>
      <c r="D36">
        <v>2073</v>
      </c>
    </row>
    <row r="37" spans="1:4" x14ac:dyDescent="0.35">
      <c r="A37" s="2">
        <v>41579</v>
      </c>
      <c r="B37">
        <v>1780688</v>
      </c>
      <c r="C37">
        <v>5224</v>
      </c>
      <c r="D37">
        <v>2036</v>
      </c>
    </row>
    <row r="38" spans="1:4" x14ac:dyDescent="0.35">
      <c r="A38" s="2">
        <v>41609</v>
      </c>
      <c r="B38">
        <v>1874128</v>
      </c>
      <c r="C38">
        <v>5520</v>
      </c>
      <c r="D38">
        <v>2133</v>
      </c>
    </row>
    <row r="39" spans="1:4" x14ac:dyDescent="0.35">
      <c r="A39" s="2">
        <v>41640</v>
      </c>
      <c r="B39">
        <v>45642</v>
      </c>
      <c r="C39">
        <v>1970</v>
      </c>
      <c r="D39">
        <v>834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5D175-1AD6-4F0E-99C3-41B0E077EFC8}">
  <dimension ref="A1:Y8"/>
  <sheetViews>
    <sheetView showGridLines="0" tabSelected="1" topLeftCell="A18" zoomScale="70" zoomScaleNormal="70" workbookViewId="0">
      <selection activeCell="S21" sqref="S21"/>
    </sheetView>
  </sheetViews>
  <sheetFormatPr defaultRowHeight="24" customHeight="1" x14ac:dyDescent="0.35"/>
  <cols>
    <col min="1" max="14" width="12.6328125" customWidth="1"/>
  </cols>
  <sheetData>
    <row r="1" spans="1:25" ht="24" customHeight="1" x14ac:dyDescent="0.35">
      <c r="A1" s="11" t="s">
        <v>177</v>
      </c>
      <c r="B1" s="11"/>
      <c r="C1" s="11"/>
      <c r="D1" s="11"/>
      <c r="E1" s="11"/>
      <c r="F1" s="11"/>
      <c r="G1" s="11"/>
      <c r="H1" s="11"/>
      <c r="I1" s="11"/>
      <c r="J1" s="11"/>
      <c r="K1" s="11"/>
      <c r="L1" s="11"/>
      <c r="M1" s="11"/>
      <c r="N1" s="11"/>
      <c r="O1" s="11"/>
      <c r="P1" s="11"/>
      <c r="Q1" s="11"/>
      <c r="R1" s="11"/>
      <c r="S1" s="11"/>
      <c r="T1" s="11"/>
      <c r="U1" s="11"/>
      <c r="V1" s="11"/>
      <c r="W1" s="11"/>
      <c r="X1" s="11"/>
      <c r="Y1" s="11"/>
    </row>
    <row r="2" spans="1:25" ht="24"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row>
    <row r="3" spans="1:25" ht="24" customHeight="1" x14ac:dyDescent="0.35">
      <c r="A3" s="11"/>
      <c r="B3" s="11"/>
      <c r="C3" s="11"/>
      <c r="D3" s="11"/>
      <c r="E3" s="11"/>
      <c r="F3" s="11"/>
      <c r="G3" s="11"/>
      <c r="H3" s="11"/>
      <c r="I3" s="11"/>
      <c r="J3" s="11"/>
      <c r="K3" s="11"/>
      <c r="L3" s="11"/>
      <c r="M3" s="11"/>
      <c r="N3" s="11"/>
      <c r="O3" s="11"/>
      <c r="P3" s="11"/>
      <c r="Q3" s="11"/>
      <c r="R3" s="11"/>
      <c r="S3" s="11"/>
      <c r="T3" s="11"/>
      <c r="U3" s="11"/>
      <c r="V3" s="11"/>
      <c r="W3" s="11"/>
      <c r="X3" s="11"/>
      <c r="Y3" s="11"/>
    </row>
    <row r="4" spans="1:25" ht="24" customHeight="1" thickBot="1" x14ac:dyDescent="0.4"/>
    <row r="5" spans="1:25" ht="24" customHeight="1" thickTop="1" x14ac:dyDescent="0.35">
      <c r="A5" s="12" t="s">
        <v>178</v>
      </c>
      <c r="B5" s="13"/>
      <c r="C5" s="14"/>
      <c r="D5" s="21" t="s">
        <v>179</v>
      </c>
      <c r="E5" s="13"/>
      <c r="F5" s="13"/>
      <c r="G5" s="21" t="s">
        <v>180</v>
      </c>
      <c r="H5" s="13"/>
      <c r="I5" s="13"/>
      <c r="J5" s="21" t="s">
        <v>181</v>
      </c>
      <c r="K5" s="13"/>
      <c r="L5" s="13"/>
      <c r="M5" s="21" t="s">
        <v>182</v>
      </c>
      <c r="N5" s="13"/>
      <c r="O5" s="14"/>
    </row>
    <row r="6" spans="1:25" ht="24" customHeight="1" x14ac:dyDescent="0.35">
      <c r="A6" s="15"/>
      <c r="B6" s="16"/>
      <c r="C6" s="17"/>
      <c r="D6" s="22"/>
      <c r="E6" s="16"/>
      <c r="F6" s="16"/>
      <c r="G6" s="22"/>
      <c r="H6" s="16"/>
      <c r="I6" s="16"/>
      <c r="J6" s="22"/>
      <c r="K6" s="16"/>
      <c r="L6" s="16"/>
      <c r="M6" s="22"/>
      <c r="N6" s="16"/>
      <c r="O6" s="17"/>
    </row>
    <row r="7" spans="1:25" ht="24" customHeight="1" thickBot="1" x14ac:dyDescent="0.4">
      <c r="A7" s="18"/>
      <c r="B7" s="19"/>
      <c r="C7" s="20"/>
      <c r="D7" s="23"/>
      <c r="E7" s="19"/>
      <c r="F7" s="19"/>
      <c r="G7" s="22"/>
      <c r="H7" s="16"/>
      <c r="I7" s="16"/>
      <c r="J7" s="23"/>
      <c r="K7" s="19"/>
      <c r="L7" s="19"/>
      <c r="M7" s="23"/>
      <c r="N7" s="19"/>
      <c r="O7" s="20"/>
    </row>
    <row r="8" spans="1:25" ht="24" customHeight="1" thickTop="1" x14ac:dyDescent="0.35">
      <c r="A8" s="4"/>
      <c r="B8" s="3"/>
      <c r="C8" s="3"/>
      <c r="G8" s="7"/>
      <c r="H8" s="7"/>
      <c r="I8" s="7"/>
      <c r="M8" s="7"/>
      <c r="N8" s="7"/>
      <c r="O8" s="7"/>
    </row>
  </sheetData>
  <mergeCells count="6">
    <mergeCell ref="A1:Y3"/>
    <mergeCell ref="A5:C7"/>
    <mergeCell ref="D5:F7"/>
    <mergeCell ref="G5:I7"/>
    <mergeCell ref="J5:L7"/>
    <mergeCell ref="M5: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605A-8158-4730-A6B5-896807E68745}">
  <dimension ref="A1:B131"/>
  <sheetViews>
    <sheetView workbookViewId="0">
      <selection sqref="A1:B11"/>
    </sheetView>
  </sheetViews>
  <sheetFormatPr defaultRowHeight="14.5" x14ac:dyDescent="0.35"/>
  <cols>
    <col min="1" max="1" width="26.26953125" bestFit="1" customWidth="1"/>
    <col min="2" max="2" width="11.08984375" bestFit="1" customWidth="1"/>
  </cols>
  <sheetData>
    <row r="1" spans="1:2" x14ac:dyDescent="0.35">
      <c r="A1" t="s">
        <v>15</v>
      </c>
      <c r="B1" t="s">
        <v>17</v>
      </c>
    </row>
    <row r="2" spans="1:2" x14ac:dyDescent="0.35">
      <c r="A2" t="s">
        <v>149</v>
      </c>
      <c r="B2">
        <v>4244</v>
      </c>
    </row>
    <row r="3" spans="1:2" x14ac:dyDescent="0.35">
      <c r="A3" t="s">
        <v>170</v>
      </c>
      <c r="B3">
        <v>3191</v>
      </c>
    </row>
    <row r="4" spans="1:2" x14ac:dyDescent="0.35">
      <c r="A4" t="s">
        <v>156</v>
      </c>
      <c r="B4">
        <v>3095</v>
      </c>
    </row>
    <row r="5" spans="1:2" x14ac:dyDescent="0.35">
      <c r="A5" t="s">
        <v>166</v>
      </c>
      <c r="B5">
        <v>2376</v>
      </c>
    </row>
    <row r="6" spans="1:2" x14ac:dyDescent="0.35">
      <c r="A6" t="s">
        <v>86</v>
      </c>
      <c r="B6">
        <v>2230</v>
      </c>
    </row>
    <row r="7" spans="1:2" x14ac:dyDescent="0.35">
      <c r="A7" t="s">
        <v>154</v>
      </c>
      <c r="B7">
        <v>2190</v>
      </c>
    </row>
    <row r="8" spans="1:2" x14ac:dyDescent="0.35">
      <c r="A8" t="s">
        <v>88</v>
      </c>
      <c r="B8">
        <v>2125</v>
      </c>
    </row>
    <row r="9" spans="1:2" x14ac:dyDescent="0.35">
      <c r="A9" t="s">
        <v>102</v>
      </c>
      <c r="B9">
        <v>2121</v>
      </c>
    </row>
    <row r="10" spans="1:2" x14ac:dyDescent="0.35">
      <c r="A10" t="s">
        <v>89</v>
      </c>
      <c r="B10">
        <v>2085</v>
      </c>
    </row>
    <row r="11" spans="1:2" x14ac:dyDescent="0.35">
      <c r="A11" t="s">
        <v>152</v>
      </c>
      <c r="B11">
        <v>2025</v>
      </c>
    </row>
    <row r="12" spans="1:2" x14ac:dyDescent="0.35">
      <c r="A12" t="s">
        <v>157</v>
      </c>
      <c r="B12">
        <v>1712</v>
      </c>
    </row>
    <row r="13" spans="1:2" x14ac:dyDescent="0.35">
      <c r="A13" t="s">
        <v>167</v>
      </c>
      <c r="B13">
        <v>1488</v>
      </c>
    </row>
    <row r="14" spans="1:2" x14ac:dyDescent="0.35">
      <c r="A14" t="s">
        <v>98</v>
      </c>
      <c r="B14">
        <v>1396</v>
      </c>
    </row>
    <row r="15" spans="1:2" x14ac:dyDescent="0.35">
      <c r="A15" t="s">
        <v>122</v>
      </c>
      <c r="B15">
        <v>1161</v>
      </c>
    </row>
    <row r="16" spans="1:2" x14ac:dyDescent="0.35">
      <c r="A16" t="s">
        <v>145</v>
      </c>
      <c r="B16">
        <v>1044</v>
      </c>
    </row>
    <row r="17" spans="1:2" x14ac:dyDescent="0.35">
      <c r="A17" t="s">
        <v>128</v>
      </c>
      <c r="B17">
        <v>935</v>
      </c>
    </row>
    <row r="18" spans="1:2" x14ac:dyDescent="0.35">
      <c r="A18" t="s">
        <v>136</v>
      </c>
      <c r="B18">
        <v>926</v>
      </c>
    </row>
    <row r="19" spans="1:2" x14ac:dyDescent="0.35">
      <c r="A19" t="s">
        <v>168</v>
      </c>
      <c r="B19">
        <v>908</v>
      </c>
    </row>
    <row r="20" spans="1:2" x14ac:dyDescent="0.35">
      <c r="A20" t="s">
        <v>146</v>
      </c>
      <c r="B20">
        <v>862</v>
      </c>
    </row>
    <row r="21" spans="1:2" x14ac:dyDescent="0.35">
      <c r="A21" t="s">
        <v>125</v>
      </c>
      <c r="B21">
        <v>858</v>
      </c>
    </row>
    <row r="22" spans="1:2" x14ac:dyDescent="0.35">
      <c r="A22" t="s">
        <v>110</v>
      </c>
      <c r="B22">
        <v>733</v>
      </c>
    </row>
    <row r="23" spans="1:2" x14ac:dyDescent="0.35">
      <c r="A23" t="s">
        <v>24</v>
      </c>
      <c r="B23">
        <v>620</v>
      </c>
    </row>
    <row r="24" spans="1:2" x14ac:dyDescent="0.35">
      <c r="A24" t="s">
        <v>27</v>
      </c>
      <c r="B24">
        <v>614</v>
      </c>
    </row>
    <row r="25" spans="1:2" x14ac:dyDescent="0.35">
      <c r="A25" t="s">
        <v>28</v>
      </c>
      <c r="B25">
        <v>596</v>
      </c>
    </row>
    <row r="26" spans="1:2" x14ac:dyDescent="0.35">
      <c r="A26" t="s">
        <v>30</v>
      </c>
      <c r="B26">
        <v>582</v>
      </c>
    </row>
    <row r="27" spans="1:2" x14ac:dyDescent="0.35">
      <c r="A27" t="s">
        <v>29</v>
      </c>
      <c r="B27">
        <v>580</v>
      </c>
    </row>
    <row r="28" spans="1:2" x14ac:dyDescent="0.35">
      <c r="A28" t="s">
        <v>31</v>
      </c>
      <c r="B28">
        <v>560</v>
      </c>
    </row>
    <row r="29" spans="1:2" x14ac:dyDescent="0.35">
      <c r="A29" t="s">
        <v>161</v>
      </c>
      <c r="B29">
        <v>499</v>
      </c>
    </row>
    <row r="30" spans="1:2" x14ac:dyDescent="0.35">
      <c r="A30" t="s">
        <v>163</v>
      </c>
      <c r="B30">
        <v>488</v>
      </c>
    </row>
    <row r="31" spans="1:2" x14ac:dyDescent="0.35">
      <c r="A31" t="s">
        <v>137</v>
      </c>
      <c r="B31">
        <v>452</v>
      </c>
    </row>
    <row r="32" spans="1:2" x14ac:dyDescent="0.35">
      <c r="A32" t="s">
        <v>165</v>
      </c>
      <c r="B32">
        <v>443</v>
      </c>
    </row>
    <row r="33" spans="1:2" x14ac:dyDescent="0.35">
      <c r="A33" t="s">
        <v>140</v>
      </c>
      <c r="B33">
        <v>442</v>
      </c>
    </row>
    <row r="34" spans="1:2" x14ac:dyDescent="0.35">
      <c r="A34" t="s">
        <v>147</v>
      </c>
      <c r="B34">
        <v>429</v>
      </c>
    </row>
    <row r="35" spans="1:2" x14ac:dyDescent="0.35">
      <c r="A35" t="s">
        <v>151</v>
      </c>
      <c r="B35">
        <v>413</v>
      </c>
    </row>
    <row r="36" spans="1:2" x14ac:dyDescent="0.35">
      <c r="A36" t="s">
        <v>141</v>
      </c>
      <c r="B36">
        <v>409</v>
      </c>
    </row>
    <row r="37" spans="1:2" x14ac:dyDescent="0.35">
      <c r="A37" t="s">
        <v>143</v>
      </c>
      <c r="B37">
        <v>407</v>
      </c>
    </row>
    <row r="38" spans="1:2" x14ac:dyDescent="0.35">
      <c r="A38" t="s">
        <v>144</v>
      </c>
      <c r="B38">
        <v>406</v>
      </c>
    </row>
    <row r="39" spans="1:2" x14ac:dyDescent="0.35">
      <c r="A39" t="s">
        <v>65</v>
      </c>
      <c r="B39">
        <v>386</v>
      </c>
    </row>
    <row r="40" spans="1:2" x14ac:dyDescent="0.35">
      <c r="A40" t="s">
        <v>153</v>
      </c>
      <c r="B40">
        <v>374</v>
      </c>
    </row>
    <row r="41" spans="1:2" x14ac:dyDescent="0.35">
      <c r="A41" t="s">
        <v>69</v>
      </c>
      <c r="B41">
        <v>363</v>
      </c>
    </row>
    <row r="42" spans="1:2" x14ac:dyDescent="0.35">
      <c r="A42" t="s">
        <v>133</v>
      </c>
      <c r="B42">
        <v>363</v>
      </c>
    </row>
    <row r="43" spans="1:2" x14ac:dyDescent="0.35">
      <c r="A43" t="s">
        <v>70</v>
      </c>
      <c r="B43">
        <v>360</v>
      </c>
    </row>
    <row r="44" spans="1:2" x14ac:dyDescent="0.35">
      <c r="A44" t="s">
        <v>135</v>
      </c>
      <c r="B44">
        <v>352</v>
      </c>
    </row>
    <row r="45" spans="1:2" x14ac:dyDescent="0.35">
      <c r="A45" t="s">
        <v>32</v>
      </c>
      <c r="B45">
        <v>337</v>
      </c>
    </row>
    <row r="46" spans="1:2" x14ac:dyDescent="0.35">
      <c r="A46" t="s">
        <v>34</v>
      </c>
      <c r="B46">
        <v>336</v>
      </c>
    </row>
    <row r="47" spans="1:2" x14ac:dyDescent="0.35">
      <c r="A47" t="s">
        <v>72</v>
      </c>
      <c r="B47">
        <v>334</v>
      </c>
    </row>
    <row r="48" spans="1:2" x14ac:dyDescent="0.35">
      <c r="A48" t="s">
        <v>115</v>
      </c>
      <c r="B48">
        <v>328</v>
      </c>
    </row>
    <row r="49" spans="1:2" x14ac:dyDescent="0.35">
      <c r="A49" t="s">
        <v>38</v>
      </c>
      <c r="B49">
        <v>319</v>
      </c>
    </row>
    <row r="50" spans="1:2" x14ac:dyDescent="0.35">
      <c r="A50" t="s">
        <v>40</v>
      </c>
      <c r="B50">
        <v>306</v>
      </c>
    </row>
    <row r="51" spans="1:2" x14ac:dyDescent="0.35">
      <c r="A51" t="s">
        <v>58</v>
      </c>
      <c r="B51">
        <v>306</v>
      </c>
    </row>
    <row r="52" spans="1:2" x14ac:dyDescent="0.35">
      <c r="A52" t="s">
        <v>148</v>
      </c>
      <c r="B52">
        <v>304</v>
      </c>
    </row>
    <row r="53" spans="1:2" x14ac:dyDescent="0.35">
      <c r="A53" t="s">
        <v>35</v>
      </c>
      <c r="B53">
        <v>302</v>
      </c>
    </row>
    <row r="54" spans="1:2" x14ac:dyDescent="0.35">
      <c r="A54" t="s">
        <v>41</v>
      </c>
      <c r="B54">
        <v>298</v>
      </c>
    </row>
    <row r="55" spans="1:2" x14ac:dyDescent="0.35">
      <c r="A55" t="s">
        <v>171</v>
      </c>
      <c r="B55">
        <v>298</v>
      </c>
    </row>
    <row r="56" spans="1:2" x14ac:dyDescent="0.35">
      <c r="A56" t="s">
        <v>36</v>
      </c>
      <c r="B56">
        <v>295</v>
      </c>
    </row>
    <row r="57" spans="1:2" x14ac:dyDescent="0.35">
      <c r="A57" t="s">
        <v>61</v>
      </c>
      <c r="B57">
        <v>287</v>
      </c>
    </row>
    <row r="58" spans="1:2" x14ac:dyDescent="0.35">
      <c r="A58" t="s">
        <v>37</v>
      </c>
      <c r="B58">
        <v>281</v>
      </c>
    </row>
    <row r="59" spans="1:2" x14ac:dyDescent="0.35">
      <c r="A59" t="s">
        <v>42</v>
      </c>
      <c r="B59">
        <v>271</v>
      </c>
    </row>
    <row r="60" spans="1:2" x14ac:dyDescent="0.35">
      <c r="A60" t="s">
        <v>43</v>
      </c>
      <c r="B60">
        <v>270</v>
      </c>
    </row>
    <row r="61" spans="1:2" x14ac:dyDescent="0.35">
      <c r="A61" t="s">
        <v>62</v>
      </c>
      <c r="B61">
        <v>270</v>
      </c>
    </row>
    <row r="62" spans="1:2" x14ac:dyDescent="0.35">
      <c r="A62" t="s">
        <v>173</v>
      </c>
      <c r="B62">
        <v>270</v>
      </c>
    </row>
    <row r="63" spans="1:2" x14ac:dyDescent="0.35">
      <c r="A63" t="s">
        <v>63</v>
      </c>
      <c r="B63">
        <v>266</v>
      </c>
    </row>
    <row r="64" spans="1:2" x14ac:dyDescent="0.35">
      <c r="A64" t="s">
        <v>64</v>
      </c>
      <c r="B64">
        <v>261</v>
      </c>
    </row>
    <row r="65" spans="1:2" x14ac:dyDescent="0.35">
      <c r="A65" t="s">
        <v>113</v>
      </c>
      <c r="B65">
        <v>249</v>
      </c>
    </row>
    <row r="66" spans="1:2" x14ac:dyDescent="0.35">
      <c r="A66" t="s">
        <v>46</v>
      </c>
      <c r="B66">
        <v>246</v>
      </c>
    </row>
    <row r="67" spans="1:2" x14ac:dyDescent="0.35">
      <c r="A67" t="s">
        <v>48</v>
      </c>
      <c r="B67">
        <v>235</v>
      </c>
    </row>
    <row r="68" spans="1:2" x14ac:dyDescent="0.35">
      <c r="A68" t="s">
        <v>50</v>
      </c>
      <c r="B68">
        <v>232</v>
      </c>
    </row>
    <row r="69" spans="1:2" x14ac:dyDescent="0.35">
      <c r="A69" t="s">
        <v>53</v>
      </c>
      <c r="B69">
        <v>216</v>
      </c>
    </row>
    <row r="70" spans="1:2" x14ac:dyDescent="0.35">
      <c r="A70" t="s">
        <v>158</v>
      </c>
      <c r="B70">
        <v>199</v>
      </c>
    </row>
    <row r="71" spans="1:2" x14ac:dyDescent="0.35">
      <c r="A71" t="s">
        <v>160</v>
      </c>
      <c r="B71">
        <v>195</v>
      </c>
    </row>
    <row r="72" spans="1:2" x14ac:dyDescent="0.35">
      <c r="A72" t="s">
        <v>44</v>
      </c>
      <c r="B72">
        <v>177</v>
      </c>
    </row>
    <row r="73" spans="1:2" x14ac:dyDescent="0.35">
      <c r="A73" t="s">
        <v>47</v>
      </c>
      <c r="B73">
        <v>172</v>
      </c>
    </row>
    <row r="74" spans="1:2" x14ac:dyDescent="0.35">
      <c r="A74" t="s">
        <v>164</v>
      </c>
      <c r="B74">
        <v>168</v>
      </c>
    </row>
    <row r="75" spans="1:2" x14ac:dyDescent="0.35">
      <c r="A75" t="s">
        <v>49</v>
      </c>
      <c r="B75">
        <v>162</v>
      </c>
    </row>
    <row r="76" spans="1:2" x14ac:dyDescent="0.35">
      <c r="A76" t="s">
        <v>51</v>
      </c>
      <c r="B76">
        <v>160</v>
      </c>
    </row>
    <row r="77" spans="1:2" x14ac:dyDescent="0.35">
      <c r="A77" t="s">
        <v>52</v>
      </c>
      <c r="B77">
        <v>158</v>
      </c>
    </row>
    <row r="78" spans="1:2" x14ac:dyDescent="0.35">
      <c r="A78" t="s">
        <v>54</v>
      </c>
      <c r="B78">
        <v>151</v>
      </c>
    </row>
    <row r="79" spans="1:2" x14ac:dyDescent="0.35">
      <c r="A79" t="s">
        <v>55</v>
      </c>
      <c r="B79">
        <v>150</v>
      </c>
    </row>
    <row r="80" spans="1:2" x14ac:dyDescent="0.35">
      <c r="A80" t="s">
        <v>80</v>
      </c>
      <c r="B80">
        <v>148</v>
      </c>
    </row>
    <row r="81" spans="1:2" x14ac:dyDescent="0.35">
      <c r="A81" t="s">
        <v>57</v>
      </c>
      <c r="B81">
        <v>147</v>
      </c>
    </row>
    <row r="82" spans="1:2" x14ac:dyDescent="0.35">
      <c r="A82" t="s">
        <v>56</v>
      </c>
      <c r="B82">
        <v>144</v>
      </c>
    </row>
    <row r="83" spans="1:2" x14ac:dyDescent="0.35">
      <c r="A83" t="s">
        <v>59</v>
      </c>
      <c r="B83">
        <v>140</v>
      </c>
    </row>
    <row r="84" spans="1:2" x14ac:dyDescent="0.35">
      <c r="A84" t="s">
        <v>82</v>
      </c>
      <c r="B84">
        <v>138</v>
      </c>
    </row>
    <row r="85" spans="1:2" x14ac:dyDescent="0.35">
      <c r="A85" t="s">
        <v>60</v>
      </c>
      <c r="B85">
        <v>133</v>
      </c>
    </row>
    <row r="86" spans="1:2" x14ac:dyDescent="0.35">
      <c r="A86" t="s">
        <v>83</v>
      </c>
      <c r="B86">
        <v>129</v>
      </c>
    </row>
    <row r="87" spans="1:2" x14ac:dyDescent="0.35">
      <c r="A87" t="s">
        <v>84</v>
      </c>
      <c r="B87">
        <v>128</v>
      </c>
    </row>
    <row r="88" spans="1:2" x14ac:dyDescent="0.35">
      <c r="A88" t="s">
        <v>77</v>
      </c>
      <c r="B88">
        <v>106</v>
      </c>
    </row>
    <row r="89" spans="1:2" x14ac:dyDescent="0.35">
      <c r="A89" t="s">
        <v>79</v>
      </c>
      <c r="B89">
        <v>97</v>
      </c>
    </row>
    <row r="90" spans="1:2" x14ac:dyDescent="0.35">
      <c r="A90" t="s">
        <v>90</v>
      </c>
      <c r="B90">
        <v>89</v>
      </c>
    </row>
    <row r="91" spans="1:2" x14ac:dyDescent="0.35">
      <c r="A91" t="s">
        <v>81</v>
      </c>
      <c r="B91">
        <v>88</v>
      </c>
    </row>
    <row r="92" spans="1:2" x14ac:dyDescent="0.35">
      <c r="A92" t="s">
        <v>91</v>
      </c>
      <c r="B92">
        <v>88</v>
      </c>
    </row>
    <row r="93" spans="1:2" x14ac:dyDescent="0.35">
      <c r="A93" t="s">
        <v>85</v>
      </c>
      <c r="B93">
        <v>81</v>
      </c>
    </row>
    <row r="94" spans="1:2" x14ac:dyDescent="0.35">
      <c r="A94" t="s">
        <v>92</v>
      </c>
      <c r="B94">
        <v>76</v>
      </c>
    </row>
    <row r="95" spans="1:2" x14ac:dyDescent="0.35">
      <c r="A95" t="s">
        <v>94</v>
      </c>
      <c r="B95">
        <v>76</v>
      </c>
    </row>
    <row r="96" spans="1:2" x14ac:dyDescent="0.35">
      <c r="A96" t="s">
        <v>93</v>
      </c>
      <c r="B96">
        <v>75</v>
      </c>
    </row>
    <row r="97" spans="1:2" x14ac:dyDescent="0.35">
      <c r="A97" t="s">
        <v>95</v>
      </c>
      <c r="B97">
        <v>74</v>
      </c>
    </row>
    <row r="98" spans="1:2" x14ac:dyDescent="0.35">
      <c r="A98" t="s">
        <v>96</v>
      </c>
      <c r="B98">
        <v>72</v>
      </c>
    </row>
    <row r="99" spans="1:2" x14ac:dyDescent="0.35">
      <c r="A99" t="s">
        <v>97</v>
      </c>
      <c r="B99">
        <v>65</v>
      </c>
    </row>
    <row r="100" spans="1:2" x14ac:dyDescent="0.35">
      <c r="A100" t="s">
        <v>101</v>
      </c>
      <c r="B100">
        <v>64</v>
      </c>
    </row>
    <row r="101" spans="1:2" x14ac:dyDescent="0.35">
      <c r="A101" t="s">
        <v>100</v>
      </c>
      <c r="B101">
        <v>63</v>
      </c>
    </row>
    <row r="102" spans="1:2" x14ac:dyDescent="0.35">
      <c r="A102" t="s">
        <v>104</v>
      </c>
      <c r="B102">
        <v>61</v>
      </c>
    </row>
    <row r="103" spans="1:2" x14ac:dyDescent="0.35">
      <c r="A103" t="s">
        <v>66</v>
      </c>
      <c r="B103">
        <v>60</v>
      </c>
    </row>
    <row r="104" spans="1:2" x14ac:dyDescent="0.35">
      <c r="A104" t="s">
        <v>105</v>
      </c>
      <c r="B104">
        <v>60</v>
      </c>
    </row>
    <row r="105" spans="1:2" x14ac:dyDescent="0.35">
      <c r="A105" t="s">
        <v>106</v>
      </c>
      <c r="B105">
        <v>59</v>
      </c>
    </row>
    <row r="106" spans="1:2" x14ac:dyDescent="0.35">
      <c r="A106" t="s">
        <v>107</v>
      </c>
      <c r="B106">
        <v>59</v>
      </c>
    </row>
    <row r="107" spans="1:2" x14ac:dyDescent="0.35">
      <c r="A107" t="s">
        <v>67</v>
      </c>
      <c r="B107">
        <v>58</v>
      </c>
    </row>
    <row r="108" spans="1:2" x14ac:dyDescent="0.35">
      <c r="A108" t="s">
        <v>123</v>
      </c>
      <c r="B108">
        <v>58</v>
      </c>
    </row>
    <row r="109" spans="1:2" x14ac:dyDescent="0.35">
      <c r="A109" t="s">
        <v>71</v>
      </c>
      <c r="B109">
        <v>57</v>
      </c>
    </row>
    <row r="110" spans="1:2" x14ac:dyDescent="0.35">
      <c r="A110" t="s">
        <v>108</v>
      </c>
      <c r="B110">
        <v>57</v>
      </c>
    </row>
    <row r="111" spans="1:2" x14ac:dyDescent="0.35">
      <c r="A111" t="s">
        <v>124</v>
      </c>
      <c r="B111">
        <v>56</v>
      </c>
    </row>
    <row r="112" spans="1:2" x14ac:dyDescent="0.35">
      <c r="A112" t="s">
        <v>109</v>
      </c>
      <c r="B112">
        <v>55</v>
      </c>
    </row>
    <row r="113" spans="1:2" x14ac:dyDescent="0.35">
      <c r="A113" t="s">
        <v>112</v>
      </c>
      <c r="B113">
        <v>53</v>
      </c>
    </row>
    <row r="114" spans="1:2" x14ac:dyDescent="0.35">
      <c r="A114" t="s">
        <v>117</v>
      </c>
      <c r="B114">
        <v>53</v>
      </c>
    </row>
    <row r="115" spans="1:2" x14ac:dyDescent="0.35">
      <c r="A115" t="s">
        <v>118</v>
      </c>
      <c r="B115">
        <v>50</v>
      </c>
    </row>
    <row r="116" spans="1:2" x14ac:dyDescent="0.35">
      <c r="A116" t="s">
        <v>126</v>
      </c>
      <c r="B116">
        <v>50</v>
      </c>
    </row>
    <row r="117" spans="1:2" x14ac:dyDescent="0.35">
      <c r="A117" t="s">
        <v>73</v>
      </c>
      <c r="B117">
        <v>49</v>
      </c>
    </row>
    <row r="118" spans="1:2" x14ac:dyDescent="0.35">
      <c r="A118" t="s">
        <v>74</v>
      </c>
      <c r="B118">
        <v>49</v>
      </c>
    </row>
    <row r="119" spans="1:2" x14ac:dyDescent="0.35">
      <c r="A119" t="s">
        <v>129</v>
      </c>
      <c r="B119">
        <v>49</v>
      </c>
    </row>
    <row r="120" spans="1:2" x14ac:dyDescent="0.35">
      <c r="A120" t="s">
        <v>119</v>
      </c>
      <c r="B120">
        <v>48</v>
      </c>
    </row>
    <row r="121" spans="1:2" x14ac:dyDescent="0.35">
      <c r="A121" t="s">
        <v>120</v>
      </c>
      <c r="B121">
        <v>48</v>
      </c>
    </row>
    <row r="122" spans="1:2" x14ac:dyDescent="0.35">
      <c r="A122" t="s">
        <v>127</v>
      </c>
      <c r="B122">
        <v>48</v>
      </c>
    </row>
    <row r="123" spans="1:2" x14ac:dyDescent="0.35">
      <c r="A123" t="s">
        <v>130</v>
      </c>
      <c r="B123">
        <v>48</v>
      </c>
    </row>
    <row r="124" spans="1:2" x14ac:dyDescent="0.35">
      <c r="A124" t="s">
        <v>121</v>
      </c>
      <c r="B124">
        <v>47</v>
      </c>
    </row>
    <row r="125" spans="1:2" x14ac:dyDescent="0.35">
      <c r="A125" t="s">
        <v>75</v>
      </c>
      <c r="B125">
        <v>45</v>
      </c>
    </row>
    <row r="126" spans="1:2" x14ac:dyDescent="0.35">
      <c r="A126" t="s">
        <v>131</v>
      </c>
      <c r="B126">
        <v>45</v>
      </c>
    </row>
    <row r="127" spans="1:2" x14ac:dyDescent="0.35">
      <c r="A127" t="s">
        <v>132</v>
      </c>
      <c r="B127">
        <v>45</v>
      </c>
    </row>
    <row r="128" spans="1:2" x14ac:dyDescent="0.35">
      <c r="A128" t="s">
        <v>76</v>
      </c>
      <c r="B128">
        <v>42</v>
      </c>
    </row>
    <row r="129" spans="1:2" x14ac:dyDescent="0.35">
      <c r="A129" t="s">
        <v>139</v>
      </c>
      <c r="B129">
        <v>41</v>
      </c>
    </row>
    <row r="130" spans="1:2" x14ac:dyDescent="0.35">
      <c r="A130" t="s">
        <v>142</v>
      </c>
      <c r="B130">
        <v>39</v>
      </c>
    </row>
    <row r="131" spans="1:2" x14ac:dyDescent="0.35">
      <c r="A131" t="s">
        <v>78</v>
      </c>
      <c r="B131">
        <v>36</v>
      </c>
    </row>
  </sheetData>
  <sortState xmlns:xlrd2="http://schemas.microsoft.com/office/spreadsheetml/2017/richdata2" ref="A2:B131">
    <sortCondition descending="1" ref="B2:B13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02C8F-0307-45CC-AAEC-B76CB30F3E9C}">
  <dimension ref="A1:B4"/>
  <sheetViews>
    <sheetView workbookViewId="0">
      <selection sqref="A1:B4"/>
    </sheetView>
  </sheetViews>
  <sheetFormatPr defaultRowHeight="14.5" x14ac:dyDescent="0.35"/>
  <cols>
    <col min="1" max="1" width="19.36328125" bestFit="1" customWidth="1"/>
    <col min="2" max="2" width="16.90625" bestFit="1" customWidth="1"/>
  </cols>
  <sheetData>
    <row r="1" spans="1:2" x14ac:dyDescent="0.35">
      <c r="A1" t="s">
        <v>7</v>
      </c>
      <c r="B1" t="s">
        <v>8</v>
      </c>
    </row>
    <row r="2" spans="1:2" x14ac:dyDescent="0.35">
      <c r="A2" t="s">
        <v>9</v>
      </c>
      <c r="B2">
        <v>14826</v>
      </c>
    </row>
    <row r="3" spans="1:2" x14ac:dyDescent="0.35">
      <c r="A3" t="s">
        <v>10</v>
      </c>
      <c r="B3">
        <v>2039</v>
      </c>
    </row>
    <row r="4" spans="1:2" x14ac:dyDescent="0.35">
      <c r="A4" t="s">
        <v>11</v>
      </c>
      <c r="B4">
        <v>1617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3D37-14A7-4EA7-ABCC-F26B37ABA23B}">
  <dimension ref="A1:D4"/>
  <sheetViews>
    <sheetView workbookViewId="0">
      <selection sqref="A1:B4"/>
    </sheetView>
  </sheetViews>
  <sheetFormatPr defaultRowHeight="14.5" x14ac:dyDescent="0.35"/>
  <cols>
    <col min="1" max="1" width="10.36328125" bestFit="1" customWidth="1"/>
    <col min="2" max="2" width="9.7265625" bestFit="1" customWidth="1"/>
    <col min="3" max="3" width="11.54296875" bestFit="1" customWidth="1"/>
    <col min="4" max="4" width="15" bestFit="1" customWidth="1"/>
  </cols>
  <sheetData>
    <row r="1" spans="1:4" x14ac:dyDescent="0.35">
      <c r="A1" t="s">
        <v>0</v>
      </c>
      <c r="B1" t="s">
        <v>1</v>
      </c>
      <c r="C1" t="s">
        <v>2</v>
      </c>
      <c r="D1" t="s">
        <v>3</v>
      </c>
    </row>
    <row r="2" spans="1:4" x14ac:dyDescent="0.35">
      <c r="A2" t="s">
        <v>4</v>
      </c>
      <c r="B2">
        <v>28316272</v>
      </c>
      <c r="C2">
        <v>29356250</v>
      </c>
      <c r="D2" s="1">
        <v>0.96460000000000001</v>
      </c>
    </row>
    <row r="3" spans="1:4" x14ac:dyDescent="0.35">
      <c r="A3" t="s">
        <v>5</v>
      </c>
      <c r="B3">
        <v>700262</v>
      </c>
      <c r="C3">
        <v>29356250</v>
      </c>
      <c r="D3" s="1">
        <v>2.3900000000000001E-2</v>
      </c>
    </row>
    <row r="4" spans="1:4" x14ac:dyDescent="0.35">
      <c r="A4" t="s">
        <v>6</v>
      </c>
      <c r="B4">
        <v>339716</v>
      </c>
      <c r="C4">
        <v>29356250</v>
      </c>
      <c r="D4" s="1">
        <v>1.1599999999999999E-2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BD066F-AF39-472E-8639-907B9DA383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Sheet5</vt:lpstr>
      <vt:lpstr>Sheet7</vt:lpstr>
      <vt:lpstr>product-report</vt:lpstr>
      <vt:lpstr>Product Lookup</vt:lpstr>
      <vt:lpstr>monthly-sales-trend</vt:lpstr>
      <vt:lpstr>Dashboard</vt:lpstr>
      <vt:lpstr>Chart Data</vt:lpstr>
      <vt:lpstr>customer-segmentation</vt:lpstr>
      <vt:lpstr>category-contribution-part-to-w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Garima Arora</dc:creator>
  <cp:lastModifiedBy>Garima Arora</cp:lastModifiedBy>
  <dcterms:created xsi:type="dcterms:W3CDTF">2026-05-28T17:17:56Z</dcterms:created>
  <dcterms:modified xsi:type="dcterms:W3CDTF">2026-06-01T07:09:56Z</dcterms:modified>
</cp:coreProperties>
</file>